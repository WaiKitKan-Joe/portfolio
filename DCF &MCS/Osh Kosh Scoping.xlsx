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npgps\OneDrive\Courses\Financial modelling\code\Project\mcs\DCF\"/>
    </mc:Choice>
  </mc:AlternateContent>
  <xr:revisionPtr revIDLastSave="0" documentId="13_ncr:1_{6A20793B-B8E6-4068-8EBF-F66A5B749E5B}" xr6:coauthVersionLast="47" xr6:coauthVersionMax="47" xr10:uidLastSave="{00000000-0000-0000-0000-000000000000}"/>
  <bookViews>
    <workbookView xWindow="-120" yWindow="-120" windowWidth="20730" windowHeight="11040" activeTab="4" xr2:uid="{B17AA2BD-2C83-4DFB-9E65-918DD86B1FAA}"/>
  </bookViews>
  <sheets>
    <sheet name="Questions" sheetId="4" r:id="rId1"/>
    <sheet name="Income Statement" sheetId="2" r:id="rId2"/>
    <sheet name="Balance Sheet" sheetId="1" r:id="rId3"/>
    <sheet name="Valuation-draft" sheetId="3" r:id="rId4"/>
    <sheet name="Compco" sheetId="5" r:id="rId5"/>
  </sheets>
  <definedNames>
    <definedName name="_xlchart.v1.0" hidden="1">'Valuation-draft'!$N$37:$N$1037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8" i="3" l="1"/>
  <c r="C17" i="3" s="1"/>
  <c r="K40" i="3"/>
  <c r="C16" i="3" s="1"/>
  <c r="K39" i="3"/>
  <c r="D20" i="3" s="1"/>
  <c r="P30" i="2"/>
  <c r="P29" i="2"/>
  <c r="P28" i="2"/>
  <c r="P27" i="2"/>
  <c r="T24" i="2"/>
  <c r="S24" i="2"/>
  <c r="E81" i="1"/>
  <c r="R24" i="2"/>
  <c r="P20" i="2"/>
  <c r="P19" i="2"/>
  <c r="P18" i="2"/>
  <c r="P17" i="2"/>
  <c r="T15" i="2"/>
  <c r="S15" i="2"/>
  <c r="R15" i="2"/>
  <c r="Q15" i="2"/>
  <c r="P15" i="2"/>
  <c r="E20" i="3"/>
  <c r="P10" i="2"/>
  <c r="P9" i="2"/>
  <c r="P8" i="2"/>
  <c r="P7" i="2"/>
  <c r="R5" i="2"/>
  <c r="S5" i="2"/>
  <c r="Q5" i="2"/>
  <c r="P5" i="2"/>
  <c r="D36" i="3"/>
  <c r="E77" i="1"/>
  <c r="D77" i="1"/>
  <c r="C77" i="1"/>
  <c r="B77" i="1"/>
  <c r="C76" i="1" s="1"/>
  <c r="D76" i="1"/>
  <c r="E76" i="1"/>
  <c r="E24" i="3" s="1"/>
  <c r="F26" i="3"/>
  <c r="J5" i="3" l="1"/>
  <c r="I5" i="3"/>
  <c r="H5" i="3"/>
  <c r="F5" i="3" l="1"/>
  <c r="G26" i="3"/>
  <c r="H26" i="3" s="1"/>
  <c r="I26" i="3" s="1"/>
  <c r="J26" i="3" s="1"/>
  <c r="E26" i="3"/>
  <c r="F24" i="3" l="1"/>
  <c r="G24" i="3" l="1"/>
  <c r="H24" i="3" l="1"/>
  <c r="I24" i="3" l="1"/>
  <c r="J24" i="3" l="1"/>
  <c r="C111" i="1"/>
  <c r="D111" i="1"/>
  <c r="E111" i="1"/>
  <c r="B111" i="1"/>
  <c r="E108" i="1"/>
  <c r="E105" i="1"/>
  <c r="E106" i="1" s="1"/>
  <c r="D108" i="1"/>
  <c r="D105" i="1"/>
  <c r="D106" i="1"/>
  <c r="D107" i="1"/>
  <c r="E107" i="1"/>
  <c r="C108" i="1"/>
  <c r="C107" i="1"/>
  <c r="C105" i="1"/>
  <c r="E101" i="1"/>
  <c r="E102" i="1" s="1"/>
  <c r="D101" i="1"/>
  <c r="D102" i="1" s="1"/>
  <c r="C101" i="1"/>
  <c r="C102" i="1" s="1"/>
  <c r="D81" i="1"/>
  <c r="C81" i="1"/>
  <c r="D68" i="1"/>
  <c r="D74" i="1" s="1"/>
  <c r="E68" i="1"/>
  <c r="D69" i="1"/>
  <c r="E69" i="1"/>
  <c r="E74" i="1" s="1"/>
  <c r="D70" i="1"/>
  <c r="E70" i="1"/>
  <c r="D71" i="1"/>
  <c r="E71" i="1"/>
  <c r="D72" i="1"/>
  <c r="E72" i="1"/>
  <c r="D73" i="1"/>
  <c r="E73" i="1"/>
  <c r="C73" i="1"/>
  <c r="C72" i="1"/>
  <c r="C71" i="1"/>
  <c r="C70" i="1"/>
  <c r="C74" i="1" s="1"/>
  <c r="C69" i="1"/>
  <c r="C68" i="1"/>
  <c r="D59" i="1"/>
  <c r="E59" i="1"/>
  <c r="C59" i="1"/>
  <c r="F31" i="5"/>
  <c r="E47" i="5"/>
  <c r="G47" i="5"/>
  <c r="F47" i="5"/>
  <c r="D47" i="5"/>
  <c r="H47" i="5"/>
  <c r="I47" i="5"/>
  <c r="E48" i="5"/>
  <c r="F48" i="5"/>
  <c r="G48" i="5"/>
  <c r="H48" i="5"/>
  <c r="I48" i="5"/>
  <c r="E49" i="5"/>
  <c r="F49" i="5"/>
  <c r="G49" i="5"/>
  <c r="H49" i="5"/>
  <c r="I49" i="5"/>
  <c r="E50" i="5"/>
  <c r="F50" i="5"/>
  <c r="G50" i="5"/>
  <c r="H50" i="5"/>
  <c r="I50" i="5"/>
  <c r="F42" i="5"/>
  <c r="E42" i="5"/>
  <c r="G42" i="5"/>
  <c r="H42" i="5"/>
  <c r="I42" i="5"/>
  <c r="E43" i="5"/>
  <c r="F43" i="5"/>
  <c r="G43" i="5"/>
  <c r="H43" i="5"/>
  <c r="I43" i="5"/>
  <c r="F37" i="5"/>
  <c r="E37" i="5"/>
  <c r="E34" i="5"/>
  <c r="F34" i="5"/>
  <c r="G34" i="5"/>
  <c r="H34" i="5"/>
  <c r="I34" i="5"/>
  <c r="E35" i="5"/>
  <c r="F35" i="5"/>
  <c r="G35" i="5"/>
  <c r="H35" i="5"/>
  <c r="I35" i="5"/>
  <c r="E36" i="5"/>
  <c r="F36" i="5"/>
  <c r="G36" i="5"/>
  <c r="H36" i="5"/>
  <c r="I36" i="5"/>
  <c r="G37" i="5"/>
  <c r="H37" i="5"/>
  <c r="I37" i="5"/>
  <c r="E38" i="5"/>
  <c r="F38" i="5"/>
  <c r="G38" i="5"/>
  <c r="H38" i="5"/>
  <c r="I38" i="5"/>
  <c r="E39" i="5"/>
  <c r="F39" i="5"/>
  <c r="G39" i="5"/>
  <c r="H39" i="5"/>
  <c r="I39" i="5"/>
  <c r="E31" i="5"/>
  <c r="G31" i="5"/>
  <c r="H31" i="5"/>
  <c r="I31" i="5"/>
  <c r="E17" i="5"/>
  <c r="F17" i="5"/>
  <c r="G17" i="5"/>
  <c r="H17" i="5"/>
  <c r="I17" i="5"/>
  <c r="E15" i="5"/>
  <c r="F15" i="5"/>
  <c r="G15" i="5"/>
  <c r="H15" i="5"/>
  <c r="I15" i="5"/>
  <c r="F12" i="5"/>
  <c r="E12" i="5"/>
  <c r="G12" i="5"/>
  <c r="H12" i="5"/>
  <c r="I12" i="5"/>
  <c r="D33" i="2"/>
  <c r="L8" i="3" l="1"/>
  <c r="L7" i="3"/>
  <c r="L6" i="3"/>
  <c r="C106" i="1"/>
  <c r="H52" i="2"/>
  <c r="J52" i="2"/>
  <c r="L52" i="2"/>
  <c r="D82" i="1"/>
  <c r="E82" i="1"/>
  <c r="C82" i="1"/>
  <c r="E63" i="1"/>
  <c r="D63" i="1"/>
  <c r="D64" i="1"/>
  <c r="E64" i="1"/>
  <c r="C64" i="1"/>
  <c r="C63" i="1"/>
  <c r="E62" i="1"/>
  <c r="D62" i="1"/>
  <c r="C62" i="1"/>
  <c r="E61" i="1"/>
  <c r="D61" i="1"/>
  <c r="C61" i="1"/>
  <c r="E60" i="1"/>
  <c r="D60" i="1"/>
  <c r="C60" i="1"/>
  <c r="F33" i="2"/>
  <c r="L39" i="2"/>
  <c r="J39" i="2"/>
  <c r="H39" i="2"/>
  <c r="F39" i="2"/>
  <c r="L34" i="2"/>
  <c r="J34" i="2"/>
  <c r="H34" i="2"/>
  <c r="F34" i="2"/>
  <c r="D34" i="2"/>
  <c r="L33" i="2"/>
  <c r="J33" i="2"/>
  <c r="H33" i="2"/>
  <c r="M7" i="2"/>
  <c r="M12" i="2"/>
  <c r="M13" i="2"/>
  <c r="M19" i="2"/>
  <c r="M20" i="2"/>
  <c r="M21" i="2"/>
  <c r="M25" i="2"/>
  <c r="M6" i="2"/>
  <c r="K7" i="2"/>
  <c r="K12" i="2"/>
  <c r="K13" i="2"/>
  <c r="K19" i="2"/>
  <c r="K20" i="2"/>
  <c r="K21" i="2"/>
  <c r="K25" i="2"/>
  <c r="K6" i="2"/>
  <c r="I7" i="2"/>
  <c r="I12" i="2"/>
  <c r="I13" i="2"/>
  <c r="I19" i="2"/>
  <c r="I20" i="2"/>
  <c r="I21" i="2"/>
  <c r="I25" i="2"/>
  <c r="I6" i="2"/>
  <c r="G7" i="2"/>
  <c r="G12" i="2"/>
  <c r="G13" i="2"/>
  <c r="G19" i="2"/>
  <c r="G20" i="2"/>
  <c r="G21" i="2"/>
  <c r="G25" i="2"/>
  <c r="G6" i="2"/>
  <c r="E12" i="2"/>
  <c r="E13" i="2"/>
  <c r="E19" i="2"/>
  <c r="E20" i="2"/>
  <c r="E21" i="2"/>
  <c r="E25" i="2"/>
  <c r="E7" i="2"/>
  <c r="E6" i="2"/>
  <c r="D8" i="2"/>
  <c r="D8" i="3"/>
  <c r="D7" i="3"/>
  <c r="E8" i="2" l="1"/>
  <c r="H14" i="5"/>
  <c r="F14" i="5"/>
  <c r="B18" i="1"/>
  <c r="B49" i="1"/>
  <c r="B34" i="1"/>
  <c r="B40" i="1" s="1"/>
  <c r="B14" i="1"/>
  <c r="C14" i="1"/>
  <c r="D14" i="1"/>
  <c r="E14" i="1"/>
  <c r="C18" i="1"/>
  <c r="D18" i="1"/>
  <c r="E18" i="1"/>
  <c r="C34" i="1"/>
  <c r="D34" i="1"/>
  <c r="E34" i="1"/>
  <c r="E47" i="1"/>
  <c r="C49" i="1"/>
  <c r="D49" i="1"/>
  <c r="D11" i="2"/>
  <c r="F11" i="2"/>
  <c r="F22" i="2"/>
  <c r="G22" i="2" s="1"/>
  <c r="D22" i="2"/>
  <c r="E22" i="2" s="1"/>
  <c r="F8" i="2"/>
  <c r="D27" i="5"/>
  <c r="B8" i="5"/>
  <c r="I14" i="5"/>
  <c r="G14" i="5"/>
  <c r="D21" i="5"/>
  <c r="E14" i="5"/>
  <c r="L11" i="2"/>
  <c r="L10" i="2"/>
  <c r="M10" i="2" s="1"/>
  <c r="D32" i="2" l="1"/>
  <c r="D50" i="2" s="1"/>
  <c r="E11" i="2"/>
  <c r="G11" i="2"/>
  <c r="F32" i="2"/>
  <c r="F50" i="2" s="1"/>
  <c r="F40" i="2"/>
  <c r="G8" i="2"/>
  <c r="L32" i="2"/>
  <c r="M11" i="2"/>
  <c r="D49" i="5"/>
  <c r="B100" i="1"/>
  <c r="B99" i="1"/>
  <c r="D78" i="1"/>
  <c r="D100" i="1"/>
  <c r="D99" i="1"/>
  <c r="C65" i="1"/>
  <c r="H51" i="2" s="1"/>
  <c r="C78" i="1"/>
  <c r="C100" i="1"/>
  <c r="C99" i="1"/>
  <c r="C90" i="1"/>
  <c r="E90" i="1"/>
  <c r="D90" i="1"/>
  <c r="E78" i="1"/>
  <c r="E100" i="1"/>
  <c r="E99" i="1"/>
  <c r="D65" i="1"/>
  <c r="D40" i="1"/>
  <c r="C40" i="1"/>
  <c r="E40" i="1"/>
  <c r="E65" i="1"/>
  <c r="D10" i="2"/>
  <c r="E10" i="2" s="1"/>
  <c r="F10" i="2"/>
  <c r="G10" i="2" s="1"/>
  <c r="D24" i="1"/>
  <c r="C24" i="1"/>
  <c r="E24" i="1"/>
  <c r="B50" i="1"/>
  <c r="B24" i="1"/>
  <c r="L50" i="2" l="1"/>
  <c r="E25" i="3"/>
  <c r="F25" i="3" s="1"/>
  <c r="G25" i="3" s="1"/>
  <c r="H25" i="3" s="1"/>
  <c r="I25" i="3" s="1"/>
  <c r="J25" i="3" s="1"/>
  <c r="E50" i="1"/>
  <c r="C50" i="1"/>
  <c r="D50" i="1"/>
  <c r="J51" i="2"/>
  <c r="D14" i="2"/>
  <c r="F14" i="2"/>
  <c r="D23" i="5"/>
  <c r="D22" i="5"/>
  <c r="D10" i="5"/>
  <c r="D12" i="5" s="1"/>
  <c r="D34" i="5" s="1"/>
  <c r="D8" i="5"/>
  <c r="L22" i="2"/>
  <c r="M22" i="2" s="1"/>
  <c r="L8" i="2"/>
  <c r="D13" i="5"/>
  <c r="G18" i="3"/>
  <c r="H18" i="3" s="1"/>
  <c r="I18" i="3" s="1"/>
  <c r="J18" i="3" s="1"/>
  <c r="J10" i="2"/>
  <c r="K10" i="2" s="1"/>
  <c r="J11" i="2"/>
  <c r="H11" i="2"/>
  <c r="H22" i="2"/>
  <c r="I22" i="2" s="1"/>
  <c r="H8" i="2"/>
  <c r="J22" i="2"/>
  <c r="K22" i="2" s="1"/>
  <c r="J8" i="2"/>
  <c r="E14" i="2" l="1"/>
  <c r="D31" i="2"/>
  <c r="D35" i="2" s="1"/>
  <c r="D36" i="2" s="1"/>
  <c r="G14" i="2"/>
  <c r="F31" i="2"/>
  <c r="F35" i="2" s="1"/>
  <c r="L40" i="2"/>
  <c r="M8" i="2"/>
  <c r="J32" i="2"/>
  <c r="J50" i="2" s="1"/>
  <c r="K11" i="2"/>
  <c r="H32" i="2"/>
  <c r="H50" i="2" s="1"/>
  <c r="I11" i="2"/>
  <c r="H40" i="2"/>
  <c r="I8" i="2"/>
  <c r="J40" i="2"/>
  <c r="K8" i="2"/>
  <c r="D50" i="5"/>
  <c r="D48" i="5"/>
  <c r="D37" i="5"/>
  <c r="D39" i="5"/>
  <c r="D38" i="5"/>
  <c r="N5" i="3"/>
  <c r="D14" i="5"/>
  <c r="D15" i="5"/>
  <c r="D17" i="5" s="1"/>
  <c r="D43" i="5"/>
  <c r="L51" i="2"/>
  <c r="F16" i="2"/>
  <c r="D16" i="2"/>
  <c r="E16" i="2" s="1"/>
  <c r="J14" i="2"/>
  <c r="H10" i="2"/>
  <c r="I10" i="2" s="1"/>
  <c r="B114" i="1" l="1"/>
  <c r="B113" i="1"/>
  <c r="B112" i="1"/>
  <c r="F43" i="2"/>
  <c r="F36" i="2"/>
  <c r="F41" i="2"/>
  <c r="G16" i="2"/>
  <c r="J31" i="2"/>
  <c r="J35" i="2" s="1"/>
  <c r="K14" i="2"/>
  <c r="O5" i="3"/>
  <c r="D35" i="5"/>
  <c r="L5" i="3"/>
  <c r="D24" i="2"/>
  <c r="F24" i="2"/>
  <c r="L14" i="2"/>
  <c r="J16" i="2"/>
  <c r="H14" i="2"/>
  <c r="D112" i="1" l="1"/>
  <c r="D113" i="1"/>
  <c r="D114" i="1"/>
  <c r="J36" i="2"/>
  <c r="E24" i="2"/>
  <c r="D28" i="2"/>
  <c r="F28" i="2"/>
  <c r="G24" i="2"/>
  <c r="M14" i="2"/>
  <c r="L31" i="2"/>
  <c r="J41" i="2"/>
  <c r="K16" i="2"/>
  <c r="I14" i="2"/>
  <c r="H31" i="2"/>
  <c r="H35" i="2" s="1"/>
  <c r="J43" i="2" s="1"/>
  <c r="D26" i="2"/>
  <c r="F26" i="2"/>
  <c r="L16" i="2"/>
  <c r="J24" i="2"/>
  <c r="H16" i="2"/>
  <c r="F20" i="3" l="1"/>
  <c r="G20" i="3" s="1"/>
  <c r="H20" i="3" s="1"/>
  <c r="I20" i="3" s="1"/>
  <c r="J20" i="3" s="1"/>
  <c r="L35" i="2"/>
  <c r="C113" i="1"/>
  <c r="C112" i="1"/>
  <c r="C114" i="1"/>
  <c r="H43" i="2"/>
  <c r="H36" i="2"/>
  <c r="D49" i="2"/>
  <c r="E26" i="2"/>
  <c r="F49" i="2"/>
  <c r="F42" i="2"/>
  <c r="G26" i="2"/>
  <c r="L41" i="2"/>
  <c r="M16" i="2"/>
  <c r="K24" i="2"/>
  <c r="J28" i="2"/>
  <c r="D89" i="1" s="1"/>
  <c r="H41" i="2"/>
  <c r="I16" i="2"/>
  <c r="J26" i="2"/>
  <c r="L24" i="2"/>
  <c r="D25" i="5"/>
  <c r="L26" i="2"/>
  <c r="H24" i="2"/>
  <c r="L36" i="2" l="1"/>
  <c r="E112" i="1"/>
  <c r="E113" i="1"/>
  <c r="E114" i="1"/>
  <c r="L43" i="2"/>
  <c r="J49" i="2"/>
  <c r="J53" i="2" s="1"/>
  <c r="J55" i="2" s="1"/>
  <c r="D88" i="1"/>
  <c r="K26" i="2"/>
  <c r="J58" i="2"/>
  <c r="D96" i="1" s="1"/>
  <c r="J59" i="2"/>
  <c r="D95" i="1" s="1"/>
  <c r="M24" i="2"/>
  <c r="L28" i="2"/>
  <c r="L49" i="2"/>
  <c r="L53" i="2" s="1"/>
  <c r="L55" i="2" s="1"/>
  <c r="L42" i="2"/>
  <c r="M26" i="2"/>
  <c r="E88" i="1"/>
  <c r="L58" i="2"/>
  <c r="E96" i="1" s="1"/>
  <c r="L59" i="2"/>
  <c r="E95" i="1" s="1"/>
  <c r="I24" i="2"/>
  <c r="H28" i="2"/>
  <c r="C89" i="1" s="1"/>
  <c r="D31" i="5"/>
  <c r="D42" i="5"/>
  <c r="D36" i="5"/>
  <c r="H26" i="2"/>
  <c r="D91" i="1" l="1"/>
  <c r="D94" i="1"/>
  <c r="E89" i="1"/>
  <c r="B21" i="3"/>
  <c r="J42" i="2"/>
  <c r="H42" i="2"/>
  <c r="H49" i="2"/>
  <c r="H53" i="2" s="1"/>
  <c r="H55" i="2" s="1"/>
  <c r="I26" i="2"/>
  <c r="C88" i="1"/>
  <c r="H58" i="2"/>
  <c r="C96" i="1" s="1"/>
  <c r="H59" i="2"/>
  <c r="C95" i="1" s="1"/>
  <c r="E94" i="1" l="1"/>
  <c r="E91" i="1"/>
  <c r="C91" i="1"/>
  <c r="C94" i="1"/>
  <c r="F21" i="3"/>
  <c r="F23" i="3" s="1"/>
  <c r="F28" i="3" s="1"/>
  <c r="F31" i="3" s="1"/>
  <c r="G21" i="3"/>
  <c r="G23" i="3" s="1"/>
  <c r="G28" i="3" s="1"/>
  <c r="G31" i="3" s="1"/>
  <c r="H21" i="3"/>
  <c r="H23" i="3" s="1"/>
  <c r="H28" i="3" s="1"/>
  <c r="H31" i="3" s="1"/>
  <c r="I21" i="3"/>
  <c r="I23" i="3" s="1"/>
  <c r="I28" i="3" s="1"/>
  <c r="I31" i="3" s="1"/>
  <c r="J21" i="3"/>
  <c r="J23" i="3" s="1"/>
  <c r="J28" i="3" s="1"/>
  <c r="J31" i="3" l="1"/>
  <c r="K28" i="3"/>
  <c r="J32" i="3" s="1"/>
  <c r="D35" i="3" l="1"/>
  <c r="K32" i="3" l="1"/>
  <c r="N37" i="3"/>
  <c r="D41" i="3" s="1"/>
  <c r="D37" i="3"/>
  <c r="D38" i="3" s="1"/>
</calcChain>
</file>

<file path=xl/sharedStrings.xml><?xml version="1.0" encoding="utf-8"?>
<sst xmlns="http://schemas.openxmlformats.org/spreadsheetml/2006/main" count="321" uniqueCount="260">
  <si>
    <t>Consolidated Balance Sheets</t>
  </si>
  <si>
    <t>As of December 31,</t>
  </si>
  <si>
    <t>2023</t>
  </si>
  <si>
    <t>2022</t>
  </si>
  <si>
    <t>Assets</t>
  </si>
  <si>
    <t>Current assets:</t>
  </si>
  <si>
    <t>Cash and cash equivalents</t>
  </si>
  <si>
    <t>Trade accounts receivable, net</t>
  </si>
  <si>
    <t>Goodwill</t>
  </si>
  <si>
    <t>Liabilities and equity</t>
  </si>
  <si>
    <t>Current liabilities:</t>
  </si>
  <si>
    <t>Trade accounts payable</t>
  </si>
  <si>
    <t>Long-term debt</t>
  </si>
  <si>
    <t>Deferred tax liabilities</t>
  </si>
  <si>
    <t>Other long-term liabilities</t>
  </si>
  <si>
    <t>Equity:</t>
  </si>
  <si>
    <t>Additional paid-in capital</t>
  </si>
  <si>
    <t>Accumulated other comprehensive loss</t>
  </si>
  <si>
    <t>Retained earnings</t>
  </si>
  <si>
    <t>Total liabilities and equity</t>
  </si>
  <si>
    <t>Consolidated Statements of Income</t>
  </si>
  <si>
    <t>Year Ended December 31,</t>
  </si>
  <si>
    <t>Net sales</t>
  </si>
  <si>
    <t>Cost of goods sold</t>
  </si>
  <si>
    <t>Gross profit</t>
  </si>
  <si>
    <t>Operating expenses:</t>
  </si>
  <si>
    <t>Selling, administrative and other expenses</t>
  </si>
  <si>
    <t>Total operating expenses</t>
  </si>
  <si>
    <t>Total non-operating expenses (income)</t>
  </si>
  <si>
    <t>Income before income taxes</t>
  </si>
  <si>
    <t>Net income</t>
  </si>
  <si>
    <t>Share Price</t>
  </si>
  <si>
    <t>Shares Outstanding</t>
  </si>
  <si>
    <t>Capex</t>
  </si>
  <si>
    <t>In millions</t>
  </si>
  <si>
    <t>EBITDA</t>
  </si>
  <si>
    <t>% Sales</t>
  </si>
  <si>
    <t>Free Cash Flow</t>
  </si>
  <si>
    <t>Amortization of Purchased Intangibles</t>
  </si>
  <si>
    <t>Operating Income</t>
  </si>
  <si>
    <t>Other income (expense)</t>
  </si>
  <si>
    <t xml:space="preserve">  Interest expense, net</t>
  </si>
  <si>
    <t xml:space="preserve">  Interest Income</t>
  </si>
  <si>
    <t xml:space="preserve">  Misc. Net</t>
  </si>
  <si>
    <t>Provision for Income Tax</t>
  </si>
  <si>
    <t>Intangible Asset impairment</t>
  </si>
  <si>
    <t>Operating income</t>
  </si>
  <si>
    <t>Amortization of Intangibles</t>
  </si>
  <si>
    <t>Intangible Asset Impairmant</t>
  </si>
  <si>
    <t>Total EBITDA</t>
  </si>
  <si>
    <t>Unbilled Receivables</t>
  </si>
  <si>
    <t>Inventories</t>
  </si>
  <si>
    <t>Income Taxes Receivable</t>
  </si>
  <si>
    <t>Other Current Assets</t>
  </si>
  <si>
    <t xml:space="preserve">  Total current assets</t>
  </si>
  <si>
    <t>Purchased Intangibles</t>
  </si>
  <si>
    <t>Deferrred income Taxes</t>
  </si>
  <si>
    <t>Deferred Contract Costs</t>
  </si>
  <si>
    <t>Other Long Term Assets</t>
  </si>
  <si>
    <t xml:space="preserve">  Total assets</t>
  </si>
  <si>
    <t>Revolving Credit Facilities</t>
  </si>
  <si>
    <t>Customer Advances</t>
  </si>
  <si>
    <t>Payroll Related Obligations</t>
  </si>
  <si>
    <t>Income taxes payable</t>
  </si>
  <si>
    <t>Other Current Liabilities</t>
  </si>
  <si>
    <t xml:space="preserve">  Total current liabilities</t>
  </si>
  <si>
    <t>Long Term Customer Advances</t>
  </si>
  <si>
    <t xml:space="preserve">  Total Liabilities</t>
  </si>
  <si>
    <t>Preferred Stock</t>
  </si>
  <si>
    <t>Total shareholders'  equity</t>
  </si>
  <si>
    <t>Property, plant and equipment (gross)</t>
  </si>
  <si>
    <t xml:space="preserve"> Less Accumulated Depreciation</t>
  </si>
  <si>
    <t xml:space="preserve"> Property Plant and Equipment Net</t>
  </si>
  <si>
    <t>Depreciation</t>
  </si>
  <si>
    <t>EBIT</t>
  </si>
  <si>
    <t>Growth Rate</t>
  </si>
  <si>
    <t>(Increase)/Decrease in Working Capital</t>
  </si>
  <si>
    <t xml:space="preserve">  Change In Current Assets</t>
  </si>
  <si>
    <t xml:space="preserve"> Change in Current Liabilities</t>
  </si>
  <si>
    <t xml:space="preserve">Cap Ex </t>
  </si>
  <si>
    <t>Taxes    @</t>
  </si>
  <si>
    <t>Present Value of Free Cash Flow</t>
  </si>
  <si>
    <t>Discount Rate</t>
  </si>
  <si>
    <t>Perpetual Growth Rate</t>
  </si>
  <si>
    <t xml:space="preserve">Terminal </t>
  </si>
  <si>
    <t>Value</t>
  </si>
  <si>
    <t>Present Value of Terminal Value</t>
  </si>
  <si>
    <t>DCF Enterprise Value</t>
  </si>
  <si>
    <t>Equity value</t>
  </si>
  <si>
    <t>Net Debt</t>
  </si>
  <si>
    <t>x</t>
  </si>
  <si>
    <t>EBITDA Margin</t>
  </si>
  <si>
    <t>Cash Flow From Operation</t>
  </si>
  <si>
    <t>Net Income</t>
  </si>
  <si>
    <t>Cap EX</t>
  </si>
  <si>
    <t xml:space="preserve">   Current</t>
  </si>
  <si>
    <t xml:space="preserve">Oshkosh  Corporation designs, develops and manufactures purpose built vehicles  and equipment that enhance safety, maximize productivity, lower total cost of ownership and simplify fleet management. </t>
  </si>
  <si>
    <t>Growth Rates</t>
  </si>
  <si>
    <t>Net Sales</t>
  </si>
  <si>
    <t>Gross Profit</t>
  </si>
  <si>
    <t xml:space="preserve">Net Income </t>
  </si>
  <si>
    <t>Market Capitalization of Oshkosh</t>
  </si>
  <si>
    <t>in Millions</t>
  </si>
  <si>
    <t>Equity Market</t>
  </si>
  <si>
    <t>Capitalization</t>
  </si>
  <si>
    <t>Debt</t>
  </si>
  <si>
    <t>Cash</t>
  </si>
  <si>
    <t>&amp; Equiv</t>
  </si>
  <si>
    <t>Enterprise</t>
  </si>
  <si>
    <t>EV/EBITDA</t>
  </si>
  <si>
    <t>Multiple</t>
  </si>
  <si>
    <t>Assumptions</t>
  </si>
  <si>
    <t xml:space="preserve">Tax Rate </t>
  </si>
  <si>
    <t>Capitalization &amp; Leverage</t>
  </si>
  <si>
    <t>EBITDA/Interest Expense</t>
  </si>
  <si>
    <t>Common stock, par value $ 0.01 per share, 75.1mm, 75.1mm,  75.1</t>
  </si>
  <si>
    <t>Treasury Shares (9.627mm, 9.629mm, 10.038mm)</t>
  </si>
  <si>
    <t>Depreciation &amp; Amortization</t>
  </si>
  <si>
    <t xml:space="preserve">  Total Free Cash Flow</t>
  </si>
  <si>
    <t>Conclusions from Preliminary Financial Analysis of Oshkosh Corporation:</t>
  </si>
  <si>
    <t xml:space="preserve">Preferrably write your conclusions in bullet point summary.  I do not want a long essay. </t>
  </si>
  <si>
    <t xml:space="preserve">You are not expected to do an LBO analysis.  That will come later. </t>
  </si>
  <si>
    <t xml:space="preserve">You are not required to do any additional research for this exercise but are welcome to if it helps you to answer questions. </t>
  </si>
  <si>
    <t>Toro</t>
  </si>
  <si>
    <t>AGCO</t>
  </si>
  <si>
    <t>FSS</t>
  </si>
  <si>
    <t xml:space="preserve">Federal </t>
  </si>
  <si>
    <t>Signal</t>
  </si>
  <si>
    <t>Trinity</t>
  </si>
  <si>
    <t>Terex</t>
  </si>
  <si>
    <t>TTC</t>
  </si>
  <si>
    <t>Industries</t>
  </si>
  <si>
    <t>TEX</t>
  </si>
  <si>
    <t>TRN</t>
  </si>
  <si>
    <t>Stock Price</t>
  </si>
  <si>
    <t>Name</t>
  </si>
  <si>
    <t>Ticker</t>
  </si>
  <si>
    <t>The</t>
  </si>
  <si>
    <t>Company</t>
  </si>
  <si>
    <t>Market Capitalization</t>
  </si>
  <si>
    <t>Enterprise Value</t>
  </si>
  <si>
    <t>TTM EBITDA</t>
  </si>
  <si>
    <t>Debt/ Market Capitalization</t>
  </si>
  <si>
    <t>OSK</t>
  </si>
  <si>
    <t>Corporation</t>
  </si>
  <si>
    <t>Shares Outstanding  (mm)</t>
  </si>
  <si>
    <t>How does Oshkosh compare to the comparable companies</t>
  </si>
  <si>
    <t xml:space="preserve">Q4: Comparable company analysis (compco):  Complete the comparable company table and ratio calculations and make observations about how Oshkosh compares to its peers. </t>
  </si>
  <si>
    <t>Profitability:</t>
  </si>
  <si>
    <t>Valuation:</t>
  </si>
  <si>
    <t>2023 Sales</t>
  </si>
  <si>
    <t>2022 Sales</t>
  </si>
  <si>
    <t>Enterprise Value  / EBITDA   X</t>
  </si>
  <si>
    <t>Debt/  EBITDA  X</t>
  </si>
  <si>
    <t>Sales Growth 2022-2024</t>
  </si>
  <si>
    <t>TTM ( 2024) Sales</t>
  </si>
  <si>
    <t>Growth:</t>
  </si>
  <si>
    <t>Capex / Sales</t>
  </si>
  <si>
    <t>DCF Value Per Share</t>
  </si>
  <si>
    <t>Implied Terminal value as Multiple of Terminal EBITDA</t>
  </si>
  <si>
    <t xml:space="preserve">Comparable Company Analysis </t>
  </si>
  <si>
    <t>P/E 2025 X</t>
  </si>
  <si>
    <t>P/E 2026 X</t>
  </si>
  <si>
    <t>Leverage:</t>
  </si>
  <si>
    <t>EPS 2024</t>
  </si>
  <si>
    <t>P/E 2024 X</t>
  </si>
  <si>
    <t>EPS Projected Growth</t>
  </si>
  <si>
    <t>EPS 2025 F</t>
  </si>
  <si>
    <t>EPS 2026 F</t>
  </si>
  <si>
    <t>2025 Sales F</t>
  </si>
  <si>
    <t>2026 Sales F</t>
  </si>
  <si>
    <t>Sales Growth 2024- 2026</t>
  </si>
  <si>
    <t>Sales Growth 2022-2026</t>
  </si>
  <si>
    <t>Valuation</t>
  </si>
  <si>
    <t>Leverage</t>
  </si>
  <si>
    <t>OshKosh</t>
  </si>
  <si>
    <t xml:space="preserve">Unlevered After Tax Free Cash Flow </t>
  </si>
  <si>
    <t>Net Working Capital (Operating )</t>
  </si>
  <si>
    <t>Change in Net Working Capital (Operating)</t>
  </si>
  <si>
    <t>Net Operating Working Capital to Sales</t>
  </si>
  <si>
    <t>OPERATING WORKING CAPITAL</t>
  </si>
  <si>
    <t>Change In Working Capital (operating)</t>
  </si>
  <si>
    <t>Change in Current Assets</t>
  </si>
  <si>
    <t>Change in Current Liabilities</t>
  </si>
  <si>
    <t>LBO Target Scoping Assignment</t>
  </si>
  <si>
    <t>You are an Associate at a leading investment bank .  You have been asked to find potential leveraged buyout targets for one of your Private Equity clients and have decided to take a look at Oshkosh Corporation (Ticker OSK).</t>
  </si>
  <si>
    <t>In preparation for a meeting with your senior MD you have prepared the attached financial analysis.  Please complete the analysis as instucted.</t>
  </si>
  <si>
    <t>Q3:  Valuation: Using the information from the Income Statement and the Balance Sheet, complete the valuation including building a simple DCF</t>
  </si>
  <si>
    <t>Q5:  Conclusions:  In the highlighted space below please summarize your conclusions.  I do not expect a definitive recommendation but for you to highlight why this may or may not be an interesting  LBO candidate for your client to make a buyout offer for this company.</t>
  </si>
  <si>
    <t>Year Ended September 31,</t>
  </si>
  <si>
    <t>Growth Rates Per Annum</t>
  </si>
  <si>
    <t>LT &amp; ST</t>
  </si>
  <si>
    <t>Less Net Debt (LT &amp;ST)</t>
  </si>
  <si>
    <t>Total Debt to Equity</t>
  </si>
  <si>
    <t>Total Debt to Ebitda</t>
  </si>
  <si>
    <t>Return on Average Equity</t>
  </si>
  <si>
    <t>Return on Average Assets</t>
  </si>
  <si>
    <t>Additions to Property Plant  &amp; Equipment</t>
  </si>
  <si>
    <t>EBIT After Tax</t>
  </si>
  <si>
    <t>DCF Value /Market Price</t>
  </si>
  <si>
    <t>TTM EBITDA Margin</t>
  </si>
  <si>
    <t>Market value to TTM Sales</t>
  </si>
  <si>
    <t xml:space="preserve">Enterprise Value to TTM Sales </t>
  </si>
  <si>
    <t>Book</t>
  </si>
  <si>
    <t>Market Value</t>
  </si>
  <si>
    <t>Added</t>
  </si>
  <si>
    <t xml:space="preserve">Market to </t>
  </si>
  <si>
    <t>Economic Value Added</t>
  </si>
  <si>
    <t>Plus Interest Expense(1-tax rate)</t>
  </si>
  <si>
    <t>EVA</t>
  </si>
  <si>
    <t>Profitability</t>
  </si>
  <si>
    <t>Liquidity</t>
  </si>
  <si>
    <t>Current Ratio</t>
  </si>
  <si>
    <t xml:space="preserve">Acid Test (Quick) Ratio </t>
  </si>
  <si>
    <t>Accounts Receivable Turnover</t>
  </si>
  <si>
    <t xml:space="preserve">Days in Receivable </t>
  </si>
  <si>
    <t xml:space="preserve">Productivity </t>
  </si>
  <si>
    <t>Inventory Turnover</t>
  </si>
  <si>
    <t xml:space="preserve">Days in Inventory </t>
  </si>
  <si>
    <t>Asset Turnover</t>
  </si>
  <si>
    <t>Fixed Asset Turnover</t>
  </si>
  <si>
    <t>Interest Coverage Ratio</t>
  </si>
  <si>
    <t>Assumed WACC for all Periods</t>
  </si>
  <si>
    <t xml:space="preserve">Q2: Balance Sheets: Calculate the net change in working capital for each year and the capital expenditure (fixed assets) and the Profitability, Liquidity, Effficiency and Leverage ratios. </t>
  </si>
  <si>
    <t>Note:  Please submit your answers in the highlighted areas of each tab, and then turn in your completed file.</t>
  </si>
  <si>
    <t>Free Cash Flow Conversion Ration (FCF/EBITDA)</t>
  </si>
  <si>
    <t xml:space="preserve">Unlevered DCF Value </t>
  </si>
  <si>
    <t>Less WACC X( Long Term Debt  + Equity) (Use period beginning balance)</t>
  </si>
  <si>
    <t xml:space="preserve">Return on Average Capital </t>
  </si>
  <si>
    <t>Q1: Income Statement:  Please complete the analysis of the income statement filling in the yellow colored boxes showing among other things, percent of sales, growth rates, calculate EBITDA and margin, and Cash flow for each year.</t>
  </si>
  <si>
    <t>Attractions  of Oshkosh as an LBO candidate:</t>
  </si>
  <si>
    <t>Negatives of Oshkosh as an LBO candidate:</t>
  </si>
  <si>
    <t>Strong, but not top-tier</t>
  </si>
  <si>
    <t>Solid, especially in terms of sales</t>
  </si>
  <si>
    <t>Reasonably priced - not too expensive</t>
  </si>
  <si>
    <t>Low and LBO-friendly</t>
  </si>
  <si>
    <t>3. The DCF Value /Market Price is 1.86, meaning that the market may be undervaluing the company. Therefore, Oshkosh has good potential to grow.</t>
  </si>
  <si>
    <t>2. Oshkosh uses relatively low leverage, so it cannot benefit significantly from interest tax shield. Capital restructuring may be needed, and relevant cost may be incurred.</t>
  </si>
  <si>
    <t>2. The company is not very expensive and has solid potential for sales growth, making it a good, cheap IBO target</t>
  </si>
  <si>
    <t>3. The company's PE ratio tends to be lower than its peers in the same industry. It's uncertain whether this means the market undervalues the company or future downturn because investor confidence is lacking.</t>
  </si>
  <si>
    <t>1. Comparatively low leverage. The buyer can add more leverage to finance the LBO deal for higher IRR.</t>
  </si>
  <si>
    <t>1. Oshkosh is not a top-tier growth company. While it is solid, the growth rate is not very high. It's still subject to uncertainty.</t>
  </si>
  <si>
    <t>Long Term growth</t>
  </si>
  <si>
    <t>Discount rate</t>
  </si>
  <si>
    <t>Base</t>
  </si>
  <si>
    <t>SD</t>
  </si>
  <si>
    <t>Iteration</t>
  </si>
  <si>
    <t>Avg DCF value</t>
  </si>
  <si>
    <t>Growth rate</t>
  </si>
  <si>
    <t>Sales</t>
  </si>
  <si>
    <t>2021-2020</t>
  </si>
  <si>
    <t>2022-2021</t>
  </si>
  <si>
    <t>2023-2022</t>
  </si>
  <si>
    <t>2024-2023</t>
  </si>
  <si>
    <t>max</t>
  </si>
  <si>
    <t>min</t>
  </si>
  <si>
    <t>mean</t>
  </si>
  <si>
    <t>median</t>
  </si>
  <si>
    <t>EBIT Margin</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</si>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</sst>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quot;$&quot;* #,##0.00_);_(&quot;$&quot;* \(#,##0.00\);_(&quot;$&quot;* &quot;-&quot;??_);_(@_)"/>
    <numFmt numFmtId="165" formatCode="_(* #,##0.00_);_(* \(#,##0.00\);_(* &quot;-&quot;??_);_(@_)"/>
    <numFmt numFmtId="166" formatCode="_(\$* #,##0_);_(\$* \(#,##0\);_(\$* &quot;-&quot;_);_(@_)"/>
    <numFmt numFmtId="167" formatCode="\(#,##0_);[Red]\(#,##0\)"/>
    <numFmt numFmtId="168" formatCode="_(* #,##0_);_(* \(#,##0\);_(* &quot;-&quot;??_);_(@_)"/>
    <numFmt numFmtId="169" formatCode="_(* #,##0.0_);_(* \(#,##0.0\);_(* &quot;-&quot;??_);_(@_)"/>
    <numFmt numFmtId="170" formatCode="#,##0.0"/>
    <numFmt numFmtId="171" formatCode="0.0%"/>
    <numFmt numFmtId="172" formatCode="0.0"/>
    <numFmt numFmtId="173" formatCode="_(&quot;$&quot;* #,##0_);_(&quot;$&quot;* \(#,##0\);_(&quot;$&quot;* &quot;-&quot;??_);_(@_)"/>
    <numFmt numFmtId="174" formatCode="0.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20"/>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F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117">
    <xf numFmtId="0" fontId="0" fillId="0" borderId="0" xfId="0"/>
    <xf numFmtId="0" fontId="2" fillId="0" borderId="0" xfId="0" applyFont="1"/>
    <xf numFmtId="166" fontId="2" fillId="0" borderId="0" xfId="0" applyNumberFormat="1" applyFont="1"/>
    <xf numFmtId="3" fontId="2" fillId="0" borderId="0" xfId="0" applyNumberFormat="1" applyFont="1"/>
    <xf numFmtId="167" fontId="2" fillId="0" borderId="0" xfId="0" applyNumberFormat="1" applyFont="1"/>
    <xf numFmtId="14" fontId="0" fillId="0" borderId="0" xfId="0" applyNumberFormat="1"/>
    <xf numFmtId="168" fontId="0" fillId="0" borderId="0" xfId="1" applyNumberFormat="1" applyFont="1"/>
    <xf numFmtId="0" fontId="0" fillId="2" borderId="0" xfId="0" applyFill="1"/>
    <xf numFmtId="164" fontId="0" fillId="0" borderId="0" xfId="2" applyFont="1"/>
    <xf numFmtId="3" fontId="0" fillId="2" borderId="0" xfId="0" applyNumberFormat="1" applyFill="1"/>
    <xf numFmtId="166" fontId="0" fillId="2" borderId="0" xfId="0" applyNumberFormat="1" applyFill="1"/>
    <xf numFmtId="166" fontId="0" fillId="0" borderId="0" xfId="0" applyNumberFormat="1"/>
    <xf numFmtId="0" fontId="2" fillId="0" borderId="0" xfId="0" quotePrefix="1" applyFont="1"/>
    <xf numFmtId="14" fontId="2" fillId="0" borderId="0" xfId="0" quotePrefix="1" applyNumberFormat="1" applyFont="1"/>
    <xf numFmtId="3" fontId="2" fillId="0" borderId="0" xfId="0" quotePrefix="1" applyNumberFormat="1" applyFont="1"/>
    <xf numFmtId="3" fontId="2" fillId="0" borderId="1" xfId="0" applyNumberFormat="1" applyFont="1" applyBorder="1"/>
    <xf numFmtId="166" fontId="2" fillId="0" borderId="1" xfId="0" applyNumberFormat="1" applyFont="1" applyBorder="1"/>
    <xf numFmtId="0" fontId="2" fillId="0" borderId="0" xfId="1" quotePrefix="1" applyNumberFormat="1" applyFont="1"/>
    <xf numFmtId="168" fontId="0" fillId="2" borderId="0" xfId="1" applyNumberFormat="1" applyFont="1" applyFill="1"/>
    <xf numFmtId="168" fontId="2" fillId="0" borderId="0" xfId="1" applyNumberFormat="1" applyFont="1"/>
    <xf numFmtId="168" fontId="2" fillId="0" borderId="1" xfId="1" applyNumberFormat="1" applyFont="1" applyBorder="1"/>
    <xf numFmtId="168" fontId="2" fillId="0" borderId="0" xfId="1" applyNumberFormat="1" applyFont="1" applyBorder="1"/>
    <xf numFmtId="170" fontId="2" fillId="0" borderId="0" xfId="0" applyNumberFormat="1" applyFont="1"/>
    <xf numFmtId="168" fontId="0" fillId="2" borderId="1" xfId="1" applyNumberFormat="1" applyFont="1" applyFill="1" applyBorder="1"/>
    <xf numFmtId="171" fontId="2" fillId="0" borderId="0" xfId="3" applyNumberFormat="1" applyFont="1" applyFill="1"/>
    <xf numFmtId="171" fontId="2" fillId="0" borderId="0" xfId="3" applyNumberFormat="1" applyFont="1" applyFill="1" applyBorder="1"/>
    <xf numFmtId="168" fontId="0" fillId="0" borderId="0" xfId="1" applyNumberFormat="1" applyFont="1" applyFill="1"/>
    <xf numFmtId="168" fontId="2" fillId="0" borderId="0" xfId="1" applyNumberFormat="1" applyFont="1" applyFill="1"/>
    <xf numFmtId="168" fontId="0" fillId="0" borderId="0" xfId="0" applyNumberFormat="1"/>
    <xf numFmtId="9" fontId="0" fillId="0" borderId="0" xfId="3" applyFont="1"/>
    <xf numFmtId="168" fontId="0" fillId="2" borderId="0" xfId="0" applyNumberFormat="1" applyFill="1"/>
    <xf numFmtId="168" fontId="0" fillId="2" borderId="0" xfId="1" applyNumberFormat="1" applyFont="1" applyFill="1" applyBorder="1"/>
    <xf numFmtId="171" fontId="0" fillId="2" borderId="0" xfId="3" applyNumberFormat="1" applyFont="1" applyFill="1" applyBorder="1"/>
    <xf numFmtId="168" fontId="0" fillId="0" borderId="0" xfId="1" applyNumberFormat="1" applyFont="1" applyFill="1" applyBorder="1"/>
    <xf numFmtId="171" fontId="2" fillId="2" borderId="0" xfId="3" applyNumberFormat="1" applyFont="1" applyFill="1"/>
    <xf numFmtId="3" fontId="0" fillId="0" borderId="0" xfId="0" applyNumberFormat="1"/>
    <xf numFmtId="171" fontId="0" fillId="0" borderId="0" xfId="3" applyNumberFormat="1" applyFont="1" applyFill="1" applyBorder="1"/>
    <xf numFmtId="171" fontId="0" fillId="0" borderId="0" xfId="3" applyNumberFormat="1" applyFont="1" applyFill="1"/>
    <xf numFmtId="164" fontId="0" fillId="2" borderId="0" xfId="2" applyFont="1" applyFill="1"/>
    <xf numFmtId="173" fontId="0" fillId="2" borderId="0" xfId="2" applyNumberFormat="1" applyFont="1" applyFill="1"/>
    <xf numFmtId="1" fontId="0" fillId="2" borderId="0" xfId="1" applyNumberFormat="1" applyFont="1" applyFill="1" applyBorder="1"/>
    <xf numFmtId="1" fontId="0" fillId="2" borderId="0" xfId="1" applyNumberFormat="1" applyFont="1" applyFill="1" applyBorder="1" applyAlignment="1">
      <alignment horizontal="right"/>
    </xf>
    <xf numFmtId="168" fontId="0" fillId="2" borderId="0" xfId="1" applyNumberFormat="1" applyFont="1" applyFill="1" applyBorder="1" applyAlignment="1">
      <alignment horizontal="right"/>
    </xf>
    <xf numFmtId="173" fontId="0" fillId="2" borderId="0" xfId="0" applyNumberFormat="1" applyFill="1"/>
    <xf numFmtId="172" fontId="0" fillId="2" borderId="0" xfId="0" applyNumberFormat="1" applyFill="1"/>
    <xf numFmtId="0" fontId="0" fillId="0" borderId="2" xfId="0" applyBorder="1"/>
    <xf numFmtId="0" fontId="0" fillId="0" borderId="3" xfId="0" applyBorder="1"/>
    <xf numFmtId="0" fontId="0" fillId="0" borderId="5" xfId="0" applyBorder="1"/>
    <xf numFmtId="0" fontId="0" fillId="0" borderId="6" xfId="0" applyBorder="1"/>
    <xf numFmtId="173" fontId="0" fillId="0" borderId="0" xfId="2" applyNumberFormat="1" applyFont="1" applyFill="1"/>
    <xf numFmtId="171" fontId="2" fillId="2" borderId="0" xfId="3" applyNumberFormat="1" applyFont="1" applyFill="1" applyBorder="1"/>
    <xf numFmtId="0" fontId="0" fillId="0" borderId="0" xfId="0" applyAlignment="1">
      <alignment wrapText="1"/>
    </xf>
    <xf numFmtId="0" fontId="0" fillId="3" borderId="0" xfId="0" applyFill="1"/>
    <xf numFmtId="172" fontId="0" fillId="0" borderId="0" xfId="0" applyNumberFormat="1"/>
    <xf numFmtId="165" fontId="0" fillId="2" borderId="0" xfId="0" applyNumberFormat="1" applyFill="1"/>
    <xf numFmtId="171" fontId="0" fillId="2" borderId="0" xfId="3" applyNumberFormat="1" applyFont="1" applyFill="1"/>
    <xf numFmtId="0" fontId="0" fillId="0" borderId="4" xfId="0" applyBorder="1"/>
    <xf numFmtId="0" fontId="0" fillId="0" borderId="7" xfId="0" applyBorder="1"/>
    <xf numFmtId="169" fontId="0" fillId="2" borderId="0" xfId="0" applyNumberFormat="1" applyFill="1"/>
    <xf numFmtId="9" fontId="0" fillId="2" borderId="0" xfId="3" applyFont="1" applyFill="1"/>
    <xf numFmtId="165" fontId="0" fillId="0" borderId="0" xfId="0" applyNumberFormat="1"/>
    <xf numFmtId="10" fontId="0" fillId="2" borderId="0" xfId="3" applyNumberFormat="1" applyFont="1" applyFill="1"/>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168" fontId="0" fillId="0" borderId="2" xfId="1" applyNumberFormat="1" applyFont="1" applyFill="1" applyBorder="1"/>
    <xf numFmtId="168" fontId="0" fillId="0" borderId="3" xfId="1" applyNumberFormat="1" applyFont="1" applyFill="1" applyBorder="1"/>
    <xf numFmtId="166" fontId="0" fillId="0" borderId="3" xfId="0" applyNumberFormat="1" applyBorder="1"/>
    <xf numFmtId="168" fontId="0" fillId="0" borderId="4" xfId="1" applyNumberFormat="1" applyFont="1" applyFill="1" applyBorder="1"/>
    <xf numFmtId="16" fontId="2" fillId="0" borderId="4" xfId="0" applyNumberFormat="1" applyFont="1" applyBorder="1"/>
    <xf numFmtId="9" fontId="0" fillId="0" borderId="10" xfId="3" applyFont="1" applyBorder="1"/>
    <xf numFmtId="9" fontId="0" fillId="0" borderId="11" xfId="3" applyFont="1" applyBorder="1"/>
    <xf numFmtId="9" fontId="0" fillId="0" borderId="12" xfId="3" applyFont="1" applyBorder="1"/>
    <xf numFmtId="168" fontId="0" fillId="0" borderId="6" xfId="1" applyNumberFormat="1" applyFont="1" applyBorder="1"/>
    <xf numFmtId="0" fontId="3" fillId="0" borderId="0" xfId="0" applyFont="1"/>
    <xf numFmtId="164" fontId="0" fillId="0" borderId="0" xfId="2" applyFont="1" applyFill="1"/>
    <xf numFmtId="164" fontId="0" fillId="0" borderId="0" xfId="0" applyNumberFormat="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8" xfId="0" applyFont="1" applyBorder="1" applyAlignment="1">
      <alignment horizontal="center"/>
    </xf>
    <xf numFmtId="0" fontId="2" fillId="0" borderId="0" xfId="0" applyFont="1" applyAlignment="1">
      <alignment horizontal="center"/>
    </xf>
    <xf numFmtId="0" fontId="2" fillId="0" borderId="9"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center"/>
    </xf>
    <xf numFmtId="171" fontId="0" fillId="0" borderId="4" xfId="3" applyNumberFormat="1" applyFont="1" applyBorder="1"/>
    <xf numFmtId="171" fontId="0" fillId="0" borderId="7" xfId="3" applyNumberFormat="1" applyFont="1" applyBorder="1"/>
    <xf numFmtId="170" fontId="0" fillId="0" borderId="0" xfId="0" applyNumberFormat="1"/>
    <xf numFmtId="0" fontId="2" fillId="0" borderId="5" xfId="0" applyFont="1" applyBorder="1" applyAlignment="1">
      <alignment horizontal="left"/>
    </xf>
    <xf numFmtId="166" fontId="0" fillId="2" borderId="13" xfId="0" applyNumberFormat="1" applyFill="1" applyBorder="1"/>
    <xf numFmtId="10" fontId="0" fillId="0" borderId="0" xfId="3" applyNumberFormat="1" applyFont="1" applyFill="1" applyBorder="1"/>
    <xf numFmtId="0" fontId="0" fillId="0" borderId="0" xfId="0" applyAlignment="1">
      <alignment horizontal="center"/>
    </xf>
    <xf numFmtId="165" fontId="0" fillId="0" borderId="0" xfId="1" applyFont="1"/>
    <xf numFmtId="169" fontId="0" fillId="2" borderId="0" xfId="1" applyNumberFormat="1" applyFont="1" applyFill="1"/>
    <xf numFmtId="165" fontId="0" fillId="2" borderId="0" xfId="1" applyFont="1" applyFill="1"/>
    <xf numFmtId="10" fontId="0" fillId="0" borderId="0" xfId="3" applyNumberFormat="1" applyFont="1" applyFill="1"/>
    <xf numFmtId="169" fontId="0" fillId="0" borderId="0" xfId="1" applyNumberFormat="1" applyFont="1" applyFill="1"/>
    <xf numFmtId="171" fontId="1" fillId="2" borderId="0" xfId="3" applyNumberFormat="1" applyFont="1" applyFill="1" applyBorder="1"/>
    <xf numFmtId="169" fontId="1" fillId="2" borderId="0" xfId="1" applyNumberFormat="1" applyFont="1" applyFill="1" applyBorder="1"/>
    <xf numFmtId="171" fontId="2" fillId="4" borderId="0" xfId="3" applyNumberFormat="1" applyFont="1" applyFill="1"/>
    <xf numFmtId="168" fontId="2" fillId="0" borderId="0" xfId="1" applyNumberFormat="1" applyFont="1" applyFill="1" applyBorder="1"/>
    <xf numFmtId="173" fontId="0" fillId="0" borderId="0" xfId="0" applyNumberFormat="1"/>
    <xf numFmtId="43" fontId="0" fillId="0" borderId="0" xfId="0" applyNumberFormat="1"/>
    <xf numFmtId="49" fontId="0" fillId="2" borderId="0" xfId="0" applyNumberFormat="1" applyFill="1"/>
    <xf numFmtId="0" fontId="0" fillId="2" borderId="0" xfId="0" applyFill="1" applyAlignment="1">
      <alignment horizontal="left"/>
    </xf>
    <xf numFmtId="171" fontId="0" fillId="0" borderId="0" xfId="0" applyNumberFormat="1"/>
    <xf numFmtId="9" fontId="0" fillId="0" borderId="0" xfId="0" applyNumberFormat="1"/>
    <xf numFmtId="10" fontId="0" fillId="0" borderId="0" xfId="3" applyNumberFormat="1" applyFont="1"/>
    <xf numFmtId="174" fontId="0" fillId="0" borderId="0" xfId="3" applyNumberFormat="1" applyFont="1"/>
    <xf numFmtId="174" fontId="1" fillId="0" borderId="0" xfId="3" applyNumberFormat="1" applyFont="1"/>
    <xf numFmtId="174" fontId="0" fillId="0" borderId="0" xfId="0" applyNumberFormat="1"/>
    <xf numFmtId="174" fontId="0" fillId="0" borderId="0" xfId="3" applyNumberFormat="1" applyFont="1" applyAlignment="1"/>
    <xf numFmtId="0" fontId="0" fillId="0" borderId="0" xfId="0" applyAlignment="1">
      <alignment horizontal="center"/>
    </xf>
  </cellXfs>
  <cellStyles count="4">
    <cellStyle name="Comma" xfId="1" builtinId="3"/>
    <cellStyle name="Currency" xfId="2" builtinId="4"/>
    <cellStyle name="Normal" xfId="0" builtinId="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00000000-133B-402D-835D-9066E31E1903}">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457199</xdr:colOff>
      <xdr:row>44</xdr:row>
      <xdr:rowOff>33336</xdr:rowOff>
    </xdr:from>
    <xdr:to>
      <xdr:col>10</xdr:col>
      <xdr:colOff>180974</xdr:colOff>
      <xdr:row>61</xdr:row>
      <xdr:rowOff>38099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75813F4-0A23-4B4B-4370-BD94348221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38474" y="8815386"/>
              <a:ext cx="5743575" cy="324326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86D17-0948-4829-A24A-718B8E6A6CB8}">
  <dimension ref="A1:T34"/>
  <sheetViews>
    <sheetView zoomScale="97" zoomScaleNormal="97" workbookViewId="0">
      <selection activeCell="A3" sqref="A3"/>
    </sheetView>
  </sheetViews>
  <sheetFormatPr defaultRowHeight="15" x14ac:dyDescent="0.25"/>
  <sheetData>
    <row r="1" spans="1:20" ht="26.25" x14ac:dyDescent="0.4">
      <c r="A1" s="77" t="s">
        <v>184</v>
      </c>
    </row>
    <row r="3" spans="1:20" x14ac:dyDescent="0.25">
      <c r="A3" s="52" t="s">
        <v>185</v>
      </c>
      <c r="B3" s="52"/>
      <c r="C3" s="52"/>
      <c r="D3" s="52"/>
      <c r="E3" s="52"/>
      <c r="F3" s="52"/>
      <c r="G3" s="52"/>
      <c r="H3" s="52"/>
      <c r="I3" s="52"/>
      <c r="J3" s="52"/>
      <c r="K3" s="52"/>
      <c r="L3" s="52"/>
      <c r="M3" s="52"/>
      <c r="N3" s="52"/>
      <c r="O3" s="52"/>
      <c r="P3" s="52"/>
      <c r="Q3" s="52"/>
      <c r="R3" s="52"/>
      <c r="S3" s="52"/>
      <c r="T3" s="52"/>
    </row>
    <row r="4" spans="1:20" x14ac:dyDescent="0.25">
      <c r="A4" s="52" t="s">
        <v>96</v>
      </c>
      <c r="B4" s="52"/>
      <c r="C4" s="52"/>
      <c r="D4" s="52"/>
      <c r="E4" s="52"/>
      <c r="F4" s="52"/>
      <c r="G4" s="52"/>
      <c r="H4" s="52"/>
      <c r="I4" s="52"/>
      <c r="J4" s="52"/>
      <c r="K4" s="52"/>
      <c r="L4" s="52"/>
      <c r="M4" s="52"/>
      <c r="N4" s="52"/>
      <c r="O4" s="52"/>
      <c r="P4" s="52"/>
      <c r="Q4" s="52"/>
      <c r="R4" s="52"/>
      <c r="S4" s="52"/>
      <c r="T4" s="52"/>
    </row>
    <row r="5" spans="1:20" x14ac:dyDescent="0.25">
      <c r="A5" s="52" t="s">
        <v>186</v>
      </c>
      <c r="B5" s="52"/>
      <c r="C5" s="52"/>
      <c r="D5" s="52"/>
      <c r="E5" s="52"/>
      <c r="F5" s="52"/>
      <c r="G5" s="52"/>
      <c r="H5" s="52"/>
      <c r="I5" s="52"/>
      <c r="J5" s="52"/>
      <c r="K5" s="52"/>
      <c r="L5" s="52"/>
      <c r="M5" s="52"/>
      <c r="N5" s="52"/>
      <c r="O5" s="52"/>
      <c r="P5" s="52"/>
      <c r="Q5" s="52"/>
      <c r="R5" s="52"/>
      <c r="S5" s="52"/>
      <c r="T5" s="52"/>
    </row>
    <row r="6" spans="1:20" x14ac:dyDescent="0.25">
      <c r="A6" s="52"/>
      <c r="B6" s="52"/>
      <c r="C6" s="52"/>
      <c r="D6" s="52"/>
      <c r="E6" s="52"/>
      <c r="F6" s="52"/>
      <c r="G6" s="52"/>
      <c r="H6" s="52"/>
      <c r="I6" s="52"/>
      <c r="J6" s="52"/>
      <c r="K6" s="52"/>
      <c r="L6" s="52"/>
      <c r="M6" s="52"/>
      <c r="N6" s="52"/>
      <c r="O6" s="52"/>
      <c r="P6" s="52"/>
      <c r="Q6" s="52"/>
      <c r="R6" s="52"/>
      <c r="S6" s="52"/>
      <c r="T6" s="52"/>
    </row>
    <row r="7" spans="1:20" x14ac:dyDescent="0.25">
      <c r="A7" s="52" t="s">
        <v>229</v>
      </c>
      <c r="B7" s="52"/>
      <c r="C7" s="52"/>
      <c r="D7" s="52"/>
      <c r="E7" s="52"/>
      <c r="F7" s="52"/>
      <c r="G7" s="52"/>
      <c r="H7" s="52"/>
      <c r="I7" s="52"/>
      <c r="J7" s="52"/>
      <c r="K7" s="52"/>
      <c r="L7" s="52"/>
      <c r="M7" s="52"/>
      <c r="N7" s="52"/>
      <c r="O7" s="52"/>
      <c r="P7" s="52"/>
      <c r="Q7" s="52"/>
      <c r="R7" s="52"/>
      <c r="S7" s="52"/>
      <c r="T7" s="52"/>
    </row>
    <row r="8" spans="1:20" x14ac:dyDescent="0.25">
      <c r="A8" s="52" t="s">
        <v>223</v>
      </c>
      <c r="B8" s="52"/>
      <c r="C8" s="52"/>
      <c r="D8" s="52"/>
      <c r="E8" s="52"/>
      <c r="F8" s="52"/>
      <c r="G8" s="52"/>
      <c r="H8" s="52"/>
      <c r="I8" s="52"/>
      <c r="J8" s="52"/>
      <c r="K8" s="52"/>
      <c r="L8" s="52"/>
      <c r="M8" s="52"/>
      <c r="N8" s="52"/>
      <c r="O8" s="52"/>
      <c r="P8" s="52"/>
      <c r="Q8" s="52"/>
      <c r="R8" s="52"/>
      <c r="S8" s="52"/>
      <c r="T8" s="52"/>
    </row>
    <row r="9" spans="1:20" x14ac:dyDescent="0.25">
      <c r="A9" s="52" t="s">
        <v>187</v>
      </c>
      <c r="B9" s="52"/>
      <c r="C9" s="52"/>
      <c r="D9" s="52"/>
      <c r="E9" s="52"/>
      <c r="F9" s="52"/>
      <c r="G9" s="52"/>
      <c r="H9" s="52"/>
      <c r="I9" s="52"/>
      <c r="J9" s="52"/>
      <c r="K9" s="52"/>
      <c r="L9" s="52"/>
      <c r="M9" s="52"/>
      <c r="N9" s="52"/>
      <c r="O9" s="52"/>
      <c r="P9" s="52"/>
      <c r="Q9" s="52"/>
      <c r="R9" s="52"/>
      <c r="S9" s="52"/>
      <c r="T9" s="52"/>
    </row>
    <row r="10" spans="1:20" x14ac:dyDescent="0.25">
      <c r="A10" s="52" t="s">
        <v>147</v>
      </c>
      <c r="B10" s="52"/>
      <c r="C10" s="52"/>
      <c r="D10" s="52"/>
      <c r="E10" s="52"/>
      <c r="F10" s="52"/>
      <c r="G10" s="52"/>
      <c r="H10" s="52"/>
      <c r="I10" s="52"/>
      <c r="J10" s="52"/>
      <c r="K10" s="52"/>
      <c r="L10" s="52"/>
      <c r="M10" s="52"/>
      <c r="N10" s="52"/>
      <c r="O10" s="52"/>
      <c r="P10" s="52"/>
      <c r="Q10" s="52"/>
      <c r="R10" s="52"/>
      <c r="S10" s="52"/>
      <c r="T10" s="52"/>
    </row>
    <row r="11" spans="1:20" x14ac:dyDescent="0.25">
      <c r="A11" s="52" t="s">
        <v>188</v>
      </c>
      <c r="B11" s="52"/>
      <c r="C11" s="52"/>
      <c r="D11" s="52"/>
      <c r="E11" s="52"/>
      <c r="F11" s="52"/>
      <c r="G11" s="52"/>
      <c r="H11" s="52"/>
      <c r="I11" s="52"/>
      <c r="J11" s="52"/>
      <c r="K11" s="52"/>
      <c r="L11" s="52"/>
      <c r="M11" s="52"/>
      <c r="N11" s="52"/>
      <c r="O11" s="52"/>
      <c r="P11" s="52"/>
      <c r="Q11" s="52"/>
      <c r="R11" s="52"/>
      <c r="S11" s="52"/>
      <c r="T11" s="52"/>
    </row>
    <row r="12" spans="1:20" x14ac:dyDescent="0.25">
      <c r="A12" s="52" t="s">
        <v>120</v>
      </c>
      <c r="B12" s="52"/>
      <c r="C12" s="52"/>
      <c r="D12" s="52"/>
      <c r="E12" s="52"/>
      <c r="F12" s="52"/>
      <c r="G12" s="52"/>
      <c r="H12" s="52"/>
      <c r="I12" s="52"/>
      <c r="J12" s="52"/>
      <c r="K12" s="52"/>
      <c r="L12" s="52"/>
      <c r="M12" s="52"/>
      <c r="N12" s="52"/>
      <c r="O12" s="52"/>
      <c r="P12" s="52"/>
      <c r="Q12" s="52"/>
      <c r="R12" s="52"/>
      <c r="S12" s="52"/>
      <c r="T12" s="52"/>
    </row>
    <row r="13" spans="1:20" x14ac:dyDescent="0.25">
      <c r="A13" s="52" t="s">
        <v>121</v>
      </c>
      <c r="B13" s="52"/>
      <c r="C13" s="52"/>
      <c r="D13" s="52"/>
      <c r="E13" s="52"/>
      <c r="F13" s="52"/>
      <c r="G13" s="52"/>
      <c r="H13" s="52"/>
      <c r="I13" s="52"/>
      <c r="J13" s="52"/>
      <c r="K13" s="52"/>
      <c r="L13" s="52"/>
      <c r="M13" s="52"/>
      <c r="N13" s="52"/>
      <c r="O13" s="52"/>
      <c r="P13" s="52"/>
      <c r="Q13" s="52"/>
      <c r="R13" s="52"/>
      <c r="S13" s="52"/>
      <c r="T13" s="52"/>
    </row>
    <row r="14" spans="1:20" x14ac:dyDescent="0.25">
      <c r="A14" s="52" t="s">
        <v>122</v>
      </c>
      <c r="B14" s="52"/>
      <c r="C14" s="52"/>
      <c r="D14" s="52"/>
      <c r="E14" s="52"/>
      <c r="F14" s="52"/>
      <c r="G14" s="52"/>
      <c r="H14" s="52"/>
      <c r="I14" s="52"/>
      <c r="J14" s="52"/>
      <c r="K14" s="52"/>
      <c r="L14" s="52"/>
      <c r="M14" s="52"/>
      <c r="N14" s="52"/>
      <c r="O14" s="52"/>
      <c r="P14" s="52"/>
      <c r="Q14" s="52"/>
      <c r="R14" s="52"/>
      <c r="S14" s="52"/>
      <c r="T14" s="52"/>
    </row>
    <row r="15" spans="1:20" x14ac:dyDescent="0.25">
      <c r="A15" s="52"/>
      <c r="B15" s="52"/>
      <c r="C15" s="52"/>
      <c r="D15" s="52"/>
      <c r="E15" s="52"/>
      <c r="F15" s="52"/>
      <c r="G15" s="52"/>
      <c r="H15" s="52"/>
      <c r="I15" s="52"/>
      <c r="J15" s="52"/>
      <c r="K15" s="52"/>
      <c r="L15" s="52"/>
      <c r="M15" s="52"/>
      <c r="N15" s="52"/>
      <c r="O15" s="52"/>
      <c r="P15" s="52"/>
      <c r="Q15" s="52"/>
      <c r="R15" s="52"/>
      <c r="S15" s="52"/>
      <c r="T15" s="52"/>
    </row>
    <row r="16" spans="1:20" x14ac:dyDescent="0.25">
      <c r="A16" s="52" t="s">
        <v>224</v>
      </c>
      <c r="B16" s="52"/>
      <c r="C16" s="52"/>
      <c r="D16" s="52"/>
      <c r="E16" s="52"/>
      <c r="F16" s="52"/>
      <c r="G16" s="52"/>
      <c r="H16" s="52"/>
      <c r="I16" s="52"/>
      <c r="J16" s="52"/>
      <c r="K16" s="52"/>
      <c r="L16" s="52"/>
      <c r="M16" s="52"/>
      <c r="N16" s="52"/>
      <c r="O16" s="52"/>
      <c r="P16" s="52"/>
      <c r="Q16" s="52"/>
      <c r="R16" s="52"/>
      <c r="S16" s="52"/>
      <c r="T16" s="52"/>
    </row>
    <row r="20" spans="1:15" x14ac:dyDescent="0.25">
      <c r="A20" t="s">
        <v>119</v>
      </c>
    </row>
    <row r="22" spans="1:15" x14ac:dyDescent="0.25">
      <c r="A22" t="s">
        <v>230</v>
      </c>
    </row>
    <row r="23" spans="1:15" x14ac:dyDescent="0.25">
      <c r="A23" s="107" t="s">
        <v>240</v>
      </c>
      <c r="B23" s="7"/>
      <c r="C23" s="7"/>
      <c r="D23" s="7"/>
      <c r="E23" s="7"/>
      <c r="F23" s="7"/>
      <c r="G23" s="7"/>
      <c r="H23" s="7"/>
      <c r="I23" s="7"/>
      <c r="J23" s="7"/>
      <c r="K23" s="7"/>
      <c r="L23" s="7"/>
      <c r="M23" s="7"/>
      <c r="N23" s="7"/>
      <c r="O23" s="7"/>
    </row>
    <row r="24" spans="1:15" x14ac:dyDescent="0.25">
      <c r="A24" s="7" t="s">
        <v>238</v>
      </c>
      <c r="B24" s="7"/>
      <c r="C24" s="7"/>
      <c r="D24" s="7"/>
      <c r="E24" s="7"/>
      <c r="F24" s="7"/>
      <c r="G24" s="7"/>
      <c r="H24" s="7"/>
      <c r="I24" s="7"/>
      <c r="J24" s="7"/>
      <c r="K24" s="7"/>
      <c r="L24" s="7"/>
      <c r="M24" s="7"/>
      <c r="N24" s="7"/>
      <c r="O24" s="7"/>
    </row>
    <row r="25" spans="1:15" x14ac:dyDescent="0.25">
      <c r="A25" s="7" t="s">
        <v>236</v>
      </c>
      <c r="B25" s="7"/>
      <c r="C25" s="7"/>
      <c r="D25" s="7"/>
      <c r="E25" s="7"/>
      <c r="F25" s="7"/>
      <c r="G25" s="7"/>
      <c r="H25" s="7"/>
      <c r="I25" s="7"/>
      <c r="J25" s="7"/>
      <c r="K25" s="7"/>
      <c r="L25" s="7"/>
      <c r="M25" s="7"/>
      <c r="N25" s="7"/>
      <c r="O25" s="7"/>
    </row>
    <row r="26" spans="1:15" x14ac:dyDescent="0.25">
      <c r="A26" s="7"/>
      <c r="B26" s="7"/>
      <c r="C26" s="7"/>
      <c r="D26" s="7"/>
      <c r="E26" s="7"/>
      <c r="F26" s="7"/>
      <c r="G26" s="7"/>
      <c r="H26" s="7"/>
      <c r="I26" s="7"/>
      <c r="J26" s="7"/>
      <c r="K26" s="7"/>
      <c r="L26" s="7"/>
      <c r="M26" s="7"/>
      <c r="N26" s="7"/>
      <c r="O26" s="7"/>
    </row>
    <row r="27" spans="1:15" x14ac:dyDescent="0.25">
      <c r="A27" s="7"/>
      <c r="B27" s="7"/>
      <c r="C27" s="7"/>
      <c r="D27" s="7"/>
      <c r="E27" s="7"/>
      <c r="F27" s="7"/>
      <c r="G27" s="7"/>
      <c r="H27" s="7"/>
      <c r="I27" s="7"/>
      <c r="J27" s="7"/>
      <c r="K27" s="7"/>
      <c r="L27" s="7"/>
      <c r="M27" s="7"/>
      <c r="N27" s="7"/>
      <c r="O27" s="7"/>
    </row>
    <row r="28" spans="1:15" x14ac:dyDescent="0.25">
      <c r="A28" t="s">
        <v>231</v>
      </c>
    </row>
    <row r="29" spans="1:15" x14ac:dyDescent="0.25">
      <c r="A29" s="7" t="s">
        <v>241</v>
      </c>
      <c r="B29" s="7"/>
      <c r="C29" s="7"/>
      <c r="D29" s="7"/>
      <c r="E29" s="7"/>
      <c r="F29" s="7"/>
      <c r="G29" s="7"/>
      <c r="H29" s="7"/>
      <c r="I29" s="7"/>
      <c r="J29" s="7"/>
      <c r="K29" s="7"/>
      <c r="L29" s="7"/>
      <c r="M29" s="7"/>
      <c r="N29" s="7"/>
      <c r="O29" s="7"/>
    </row>
    <row r="30" spans="1:15" x14ac:dyDescent="0.25">
      <c r="A30" s="108" t="s">
        <v>237</v>
      </c>
      <c r="B30" s="7"/>
      <c r="C30" s="7"/>
      <c r="D30" s="7"/>
      <c r="E30" s="7"/>
      <c r="F30" s="7"/>
      <c r="G30" s="7"/>
      <c r="H30" s="7"/>
      <c r="I30" s="7"/>
      <c r="J30" s="7"/>
      <c r="K30" s="7"/>
      <c r="L30" s="7"/>
      <c r="M30" s="7"/>
      <c r="N30" s="7"/>
      <c r="O30" s="7"/>
    </row>
    <row r="31" spans="1:15" x14ac:dyDescent="0.25">
      <c r="A31" s="7" t="s">
        <v>239</v>
      </c>
      <c r="B31" s="7"/>
      <c r="C31" s="7"/>
      <c r="D31" s="7"/>
      <c r="E31" s="7"/>
      <c r="F31" s="7"/>
      <c r="G31" s="7"/>
      <c r="H31" s="7"/>
      <c r="I31" s="7"/>
      <c r="J31" s="7"/>
      <c r="K31" s="7"/>
      <c r="L31" s="7"/>
      <c r="M31" s="7"/>
      <c r="N31" s="7"/>
      <c r="O31" s="7"/>
    </row>
    <row r="32" spans="1:15" x14ac:dyDescent="0.25">
      <c r="A32" s="7"/>
      <c r="B32" s="7"/>
      <c r="C32" s="7"/>
      <c r="D32" s="7"/>
      <c r="E32" s="7"/>
      <c r="F32" s="7"/>
      <c r="G32" s="7"/>
      <c r="H32" s="7"/>
      <c r="I32" s="7"/>
      <c r="J32" s="7"/>
      <c r="K32" s="7"/>
      <c r="L32" s="7"/>
      <c r="M32" s="7"/>
      <c r="N32" s="7"/>
      <c r="O32" s="7"/>
    </row>
    <row r="33" spans="1:15" x14ac:dyDescent="0.25">
      <c r="A33" s="7"/>
      <c r="B33" s="7"/>
      <c r="C33" s="7"/>
      <c r="D33" s="7"/>
      <c r="E33" s="7"/>
      <c r="F33" s="7"/>
      <c r="G33" s="7"/>
      <c r="H33" s="7"/>
      <c r="I33" s="7"/>
      <c r="J33" s="7"/>
      <c r="K33" s="7"/>
      <c r="L33" s="7"/>
      <c r="M33" s="7"/>
      <c r="N33" s="7"/>
      <c r="O33" s="7"/>
    </row>
    <row r="34" spans="1:15" x14ac:dyDescent="0.25">
      <c r="A34" s="7"/>
      <c r="B34" s="7"/>
      <c r="C34" s="7"/>
      <c r="D34" s="7"/>
      <c r="E34" s="7"/>
      <c r="F34" s="7"/>
      <c r="G34" s="7"/>
      <c r="H34" s="7"/>
      <c r="I34" s="7"/>
      <c r="J34" s="7"/>
      <c r="K34" s="7"/>
      <c r="L34" s="7"/>
      <c r="M34" s="7"/>
      <c r="N34" s="7"/>
      <c r="O34"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57F34-E9AE-421D-B01A-EBC07D7A2E41}">
  <dimension ref="A2:U59"/>
  <sheetViews>
    <sheetView topLeftCell="A17" zoomScale="85" zoomScaleNormal="85" workbookViewId="0">
      <selection activeCell="O33" sqref="O33"/>
    </sheetView>
  </sheetViews>
  <sheetFormatPr defaultRowHeight="15" x14ac:dyDescent="0.25"/>
  <cols>
    <col min="1" max="1" width="15.5703125" customWidth="1"/>
    <col min="4" max="8" width="12.7109375" customWidth="1"/>
    <col min="9" max="9" width="11.5703125" bestFit="1" customWidth="1"/>
    <col min="10" max="10" width="9.42578125" bestFit="1" customWidth="1"/>
    <col min="12" max="12" width="12.5703125" bestFit="1" customWidth="1"/>
    <col min="15" max="15" width="11.140625" bestFit="1" customWidth="1"/>
    <col min="16" max="16" width="10" bestFit="1" customWidth="1"/>
    <col min="17" max="17" width="9.42578125" customWidth="1"/>
    <col min="18" max="19" width="9.85546875" bestFit="1" customWidth="1"/>
  </cols>
  <sheetData>
    <row r="2" spans="1:21" ht="40.15" customHeight="1" x14ac:dyDescent="0.4">
      <c r="A2" s="77" t="s">
        <v>20</v>
      </c>
      <c r="B2" s="1"/>
      <c r="C2" s="1"/>
      <c r="D2" s="1"/>
      <c r="E2" s="1"/>
      <c r="F2" s="1"/>
      <c r="G2" s="1"/>
      <c r="H2" s="1"/>
      <c r="I2" s="1"/>
    </row>
    <row r="3" spans="1:21" x14ac:dyDescent="0.25">
      <c r="A3" t="s">
        <v>34</v>
      </c>
      <c r="P3" s="116" t="s">
        <v>249</v>
      </c>
      <c r="Q3" s="116"/>
      <c r="R3" s="116"/>
      <c r="S3" s="116"/>
    </row>
    <row r="4" spans="1:21" x14ac:dyDescent="0.25">
      <c r="A4" s="1"/>
      <c r="B4" s="1"/>
      <c r="C4" s="1"/>
      <c r="D4" s="62" t="s">
        <v>189</v>
      </c>
      <c r="E4" s="63"/>
      <c r="F4" s="63"/>
      <c r="G4" s="63"/>
      <c r="H4" s="62" t="s">
        <v>21</v>
      </c>
      <c r="I4" s="63"/>
      <c r="J4" s="63"/>
      <c r="K4" s="63"/>
      <c r="L4" s="63"/>
      <c r="M4" s="64"/>
      <c r="N4" s="1"/>
      <c r="P4" s="1" t="s">
        <v>250</v>
      </c>
      <c r="Q4" s="1" t="s">
        <v>251</v>
      </c>
      <c r="R4" s="1" t="s">
        <v>252</v>
      </c>
      <c r="S4" s="1" t="s">
        <v>253</v>
      </c>
      <c r="T4" s="1"/>
      <c r="U4" s="1"/>
    </row>
    <row r="5" spans="1:21" x14ac:dyDescent="0.25">
      <c r="A5" s="1"/>
      <c r="B5" s="1"/>
      <c r="C5" s="1"/>
      <c r="D5" s="65">
        <v>2020</v>
      </c>
      <c r="E5" s="66" t="s">
        <v>36</v>
      </c>
      <c r="F5" s="66">
        <v>2021</v>
      </c>
      <c r="G5" s="66" t="s">
        <v>36</v>
      </c>
      <c r="H5" s="65" t="s">
        <v>3</v>
      </c>
      <c r="I5" s="66" t="s">
        <v>36</v>
      </c>
      <c r="J5" s="66" t="s">
        <v>2</v>
      </c>
      <c r="K5" s="66" t="s">
        <v>36</v>
      </c>
      <c r="L5" s="66">
        <v>2024</v>
      </c>
      <c r="M5" s="67" t="s">
        <v>36</v>
      </c>
      <c r="N5" s="1"/>
      <c r="O5" s="1" t="s">
        <v>248</v>
      </c>
      <c r="P5" s="113">
        <f>F6/D6-1</f>
        <v>0.12841267063353157</v>
      </c>
      <c r="Q5" s="113">
        <f>H6/F6-1</f>
        <v>7.0399234875214933E-2</v>
      </c>
      <c r="R5" s="113">
        <f>J6/H6-1</f>
        <v>0.16613136923448435</v>
      </c>
      <c r="S5" s="113">
        <f>L6/J6-1</f>
        <v>0.11364789446981227</v>
      </c>
      <c r="T5" s="1"/>
      <c r="U5" s="1"/>
    </row>
    <row r="6" spans="1:21" x14ac:dyDescent="0.25">
      <c r="A6" s="1" t="s">
        <v>22</v>
      </c>
      <c r="B6" s="1"/>
      <c r="C6" s="1"/>
      <c r="D6" s="2">
        <v>6856.8</v>
      </c>
      <c r="E6" s="34">
        <f>D6/$D$6</f>
        <v>1</v>
      </c>
      <c r="F6" s="2">
        <v>7737.3</v>
      </c>
      <c r="G6" s="34">
        <f>F6/$F$6</f>
        <v>1</v>
      </c>
      <c r="H6" s="2">
        <v>8282</v>
      </c>
      <c r="I6" s="34">
        <f>H6/$H$6</f>
        <v>1</v>
      </c>
      <c r="J6" s="2">
        <v>9657.9</v>
      </c>
      <c r="K6" s="34">
        <f>J6/$J$6</f>
        <v>1</v>
      </c>
      <c r="L6" s="2">
        <v>10755.5</v>
      </c>
      <c r="M6" s="34">
        <f>L6/$L$6</f>
        <v>1</v>
      </c>
      <c r="N6" s="24"/>
      <c r="O6" s="28"/>
      <c r="P6" s="26"/>
      <c r="Q6" s="26"/>
      <c r="R6" s="26"/>
      <c r="S6" s="26"/>
      <c r="T6" s="24"/>
    </row>
    <row r="7" spans="1:21" x14ac:dyDescent="0.25">
      <c r="A7" s="1" t="s">
        <v>23</v>
      </c>
      <c r="B7" s="1"/>
      <c r="C7" s="1"/>
      <c r="D7" s="19">
        <v>5740.4</v>
      </c>
      <c r="E7" s="34">
        <f t="shared" ref="E7:E26" si="0">D7/$D$6</f>
        <v>0.83718352584295874</v>
      </c>
      <c r="F7" s="19">
        <v>6469.1</v>
      </c>
      <c r="G7" s="34">
        <f t="shared" ref="G7:G26" si="1">F7/$F$6</f>
        <v>0.83609269383376628</v>
      </c>
      <c r="H7" s="19">
        <v>7227.6</v>
      </c>
      <c r="I7" s="34">
        <f t="shared" ref="I7:I26" si="2">H7/$H$6</f>
        <v>0.8726877565805361</v>
      </c>
      <c r="J7" s="19">
        <v>7977</v>
      </c>
      <c r="K7" s="34">
        <f t="shared" ref="K7:K26" si="3">J7/$J$6</f>
        <v>0.8259559531575188</v>
      </c>
      <c r="L7" s="19">
        <v>8786.1</v>
      </c>
      <c r="M7" s="34">
        <f>L7/$L$6</f>
        <v>0.81689368230207804</v>
      </c>
      <c r="N7" s="24"/>
      <c r="O7" t="s">
        <v>254</v>
      </c>
      <c r="P7" s="114">
        <f>MAX(P5:S5)</f>
        <v>0.16613136923448435</v>
      </c>
      <c r="S7" s="3"/>
      <c r="T7" s="3"/>
    </row>
    <row r="8" spans="1:21" x14ac:dyDescent="0.25">
      <c r="A8" s="1" t="s">
        <v>24</v>
      </c>
      <c r="B8" s="1"/>
      <c r="C8" s="1"/>
      <c r="D8" s="20">
        <f>+D6-D7</f>
        <v>1116.4000000000005</v>
      </c>
      <c r="E8" s="34">
        <f t="shared" si="0"/>
        <v>0.16281647415704126</v>
      </c>
      <c r="F8" s="20">
        <f>+F6-F7</f>
        <v>1268.1999999999998</v>
      </c>
      <c r="G8" s="34">
        <f t="shared" si="1"/>
        <v>0.16390730616623367</v>
      </c>
      <c r="H8" s="20">
        <f>+H6-H7</f>
        <v>1054.3999999999996</v>
      </c>
      <c r="I8" s="34">
        <f t="shared" si="2"/>
        <v>0.12731224341946384</v>
      </c>
      <c r="J8" s="20">
        <f>+J6-J7</f>
        <v>1680.8999999999996</v>
      </c>
      <c r="K8" s="34">
        <f t="shared" si="3"/>
        <v>0.17404404684248126</v>
      </c>
      <c r="L8" s="20">
        <f>+L6-L7</f>
        <v>1969.3999999999996</v>
      </c>
      <c r="M8" s="34">
        <f t="shared" ref="M8:M26" si="4">L8/$L$6</f>
        <v>0.18310631769792196</v>
      </c>
      <c r="N8" s="25"/>
      <c r="O8" t="s">
        <v>255</v>
      </c>
      <c r="P8" s="114">
        <f>MIN(P5:S5)</f>
        <v>7.0399234875214933E-2</v>
      </c>
      <c r="S8" s="3"/>
      <c r="T8" s="3"/>
    </row>
    <row r="9" spans="1:21" x14ac:dyDescent="0.25">
      <c r="A9" s="1" t="s">
        <v>25</v>
      </c>
      <c r="B9" s="1"/>
      <c r="C9" s="1"/>
      <c r="D9" s="6"/>
      <c r="E9" s="34"/>
      <c r="F9" s="6"/>
      <c r="G9" s="34"/>
      <c r="H9" s="6"/>
      <c r="I9" s="34"/>
      <c r="J9" s="6"/>
      <c r="K9" s="34"/>
      <c r="L9" s="6"/>
      <c r="M9" s="34"/>
      <c r="N9" s="26"/>
      <c r="O9" t="s">
        <v>256</v>
      </c>
      <c r="P9" s="114">
        <f>AVERAGE(P5:S5)</f>
        <v>0.11964779230326078</v>
      </c>
    </row>
    <row r="10" spans="1:21" x14ac:dyDescent="0.25">
      <c r="A10" s="1" t="s">
        <v>26</v>
      </c>
      <c r="B10" s="1"/>
      <c r="C10" s="1"/>
      <c r="D10" s="19">
        <f>620.6-D11</f>
        <v>527.6</v>
      </c>
      <c r="E10" s="34">
        <f t="shared" si="0"/>
        <v>7.6945513942363791E-2</v>
      </c>
      <c r="F10" s="19">
        <f>666.5-F11</f>
        <v>571.9</v>
      </c>
      <c r="G10" s="34">
        <f t="shared" si="1"/>
        <v>7.3914673077171616E-2</v>
      </c>
      <c r="H10" s="19">
        <f>662.8-H11</f>
        <v>574.5</v>
      </c>
      <c r="I10" s="34">
        <f t="shared" si="2"/>
        <v>6.9367302583916934E-2</v>
      </c>
      <c r="J10" s="19">
        <f>810.4-127</f>
        <v>683.4</v>
      </c>
      <c r="K10" s="34">
        <f t="shared" si="3"/>
        <v>7.0760724381076626E-2</v>
      </c>
      <c r="L10" s="19">
        <f>852.4-L11</f>
        <v>707</v>
      </c>
      <c r="M10" s="34">
        <f t="shared" si="4"/>
        <v>6.5733810608525872E-2</v>
      </c>
      <c r="N10" s="24"/>
      <c r="O10" t="s">
        <v>257</v>
      </c>
      <c r="P10" s="114">
        <f>MEDIAN(P5:S5)</f>
        <v>0.12103028255167192</v>
      </c>
      <c r="S10" s="3"/>
      <c r="T10" s="3"/>
    </row>
    <row r="11" spans="1:21" x14ac:dyDescent="0.25">
      <c r="A11" s="1" t="s">
        <v>73</v>
      </c>
      <c r="B11" s="1"/>
      <c r="C11" s="1"/>
      <c r="D11" s="19">
        <f>104-D12</f>
        <v>93</v>
      </c>
      <c r="E11" s="34">
        <f t="shared" si="0"/>
        <v>1.3563178158907944E-2</v>
      </c>
      <c r="F11" s="19">
        <f>104.2-F12</f>
        <v>94.600000000000009</v>
      </c>
      <c r="G11" s="34">
        <f t="shared" si="1"/>
        <v>1.2226487275923126E-2</v>
      </c>
      <c r="H11" s="19">
        <f>107.6-H12-H13</f>
        <v>88.3</v>
      </c>
      <c r="I11" s="34">
        <f t="shared" si="2"/>
        <v>1.0661675923689929E-2</v>
      </c>
      <c r="J11" s="19">
        <f>159.9-33</f>
        <v>126.9</v>
      </c>
      <c r="K11" s="34">
        <f t="shared" si="3"/>
        <v>1.3139502376292984E-2</v>
      </c>
      <c r="L11" s="19">
        <f>200.1-L12</f>
        <v>145.39999999999998</v>
      </c>
      <c r="M11" s="34">
        <f t="shared" si="4"/>
        <v>1.3518664869136719E-2</v>
      </c>
      <c r="N11" s="24"/>
      <c r="S11" s="3"/>
      <c r="T11" s="3"/>
    </row>
    <row r="12" spans="1:21" x14ac:dyDescent="0.25">
      <c r="A12" s="1" t="s">
        <v>38</v>
      </c>
      <c r="B12" s="1"/>
      <c r="C12" s="1"/>
      <c r="D12" s="19">
        <v>11</v>
      </c>
      <c r="E12" s="34">
        <f t="shared" si="0"/>
        <v>1.6042468790106173E-3</v>
      </c>
      <c r="F12" s="19">
        <v>9.6</v>
      </c>
      <c r="G12" s="34">
        <f t="shared" si="1"/>
        <v>1.2407428948082663E-3</v>
      </c>
      <c r="H12" s="19">
        <v>11.6</v>
      </c>
      <c r="I12" s="34">
        <f t="shared" si="2"/>
        <v>1.4006278676648152E-3</v>
      </c>
      <c r="J12" s="19">
        <v>32.799999999999997</v>
      </c>
      <c r="K12" s="34">
        <f t="shared" si="3"/>
        <v>3.3961834353223785E-3</v>
      </c>
      <c r="L12" s="19">
        <v>54.7</v>
      </c>
      <c r="M12" s="34">
        <f t="shared" si="4"/>
        <v>5.0857700711264007E-3</v>
      </c>
      <c r="N12" s="24"/>
      <c r="S12" s="3"/>
      <c r="T12" s="3"/>
    </row>
    <row r="13" spans="1:21" x14ac:dyDescent="0.25">
      <c r="A13" s="1" t="s">
        <v>45</v>
      </c>
      <c r="B13" s="1"/>
      <c r="C13" s="1"/>
      <c r="D13" s="19">
        <v>0</v>
      </c>
      <c r="E13" s="34">
        <f t="shared" si="0"/>
        <v>0</v>
      </c>
      <c r="F13" s="19">
        <v>0</v>
      </c>
      <c r="G13" s="34">
        <f t="shared" si="1"/>
        <v>0</v>
      </c>
      <c r="H13" s="19">
        <v>7.7</v>
      </c>
      <c r="I13" s="34">
        <f t="shared" si="2"/>
        <v>9.2972711905336882E-4</v>
      </c>
      <c r="J13" s="19">
        <v>0</v>
      </c>
      <c r="K13" s="34">
        <f t="shared" si="3"/>
        <v>0</v>
      </c>
      <c r="L13" s="19">
        <v>51.6</v>
      </c>
      <c r="M13" s="34">
        <f t="shared" si="4"/>
        <v>4.7975454418669522E-3</v>
      </c>
      <c r="N13" s="24"/>
      <c r="P13" s="116" t="s">
        <v>258</v>
      </c>
      <c r="Q13" s="116"/>
      <c r="R13" s="116"/>
      <c r="S13" s="116"/>
      <c r="T13" s="116"/>
    </row>
    <row r="14" spans="1:21" x14ac:dyDescent="0.25">
      <c r="A14" s="1" t="s">
        <v>27</v>
      </c>
      <c r="B14" s="1"/>
      <c r="C14" s="1"/>
      <c r="D14" s="20">
        <f>SUM(D10:D13)</f>
        <v>631.6</v>
      </c>
      <c r="E14" s="34">
        <f t="shared" si="0"/>
        <v>9.2112938980282347E-2</v>
      </c>
      <c r="F14" s="20">
        <f>SUM(F10:F13)</f>
        <v>676.1</v>
      </c>
      <c r="G14" s="34">
        <f t="shared" si="1"/>
        <v>8.7381903247903014E-2</v>
      </c>
      <c r="H14" s="20">
        <f>SUM(H10:H13)</f>
        <v>682.1</v>
      </c>
      <c r="I14" s="34">
        <f t="shared" si="2"/>
        <v>8.2359333494325046E-2</v>
      </c>
      <c r="J14" s="20">
        <f>SUM(J10:J13)</f>
        <v>843.09999999999991</v>
      </c>
      <c r="K14" s="34">
        <f t="shared" si="3"/>
        <v>8.7296410192691992E-2</v>
      </c>
      <c r="L14" s="20">
        <f>SUM(L10:L13)</f>
        <v>958.7</v>
      </c>
      <c r="M14" s="34">
        <f t="shared" si="4"/>
        <v>8.9135790990655953E-2</v>
      </c>
      <c r="N14" s="25"/>
      <c r="P14" s="1">
        <v>2020</v>
      </c>
      <c r="Q14" s="1">
        <v>2021</v>
      </c>
      <c r="R14" s="1">
        <v>2022</v>
      </c>
      <c r="S14" s="1">
        <v>2023</v>
      </c>
      <c r="T14" s="3">
        <v>2024</v>
      </c>
    </row>
    <row r="15" spans="1:21" x14ac:dyDescent="0.25">
      <c r="A15" s="1"/>
      <c r="B15" s="1"/>
      <c r="C15" s="1"/>
      <c r="D15" s="19"/>
      <c r="E15" s="34"/>
      <c r="F15" s="27"/>
      <c r="G15" s="34"/>
      <c r="H15" s="27"/>
      <c r="I15" s="34"/>
      <c r="J15" s="27"/>
      <c r="K15" s="34"/>
      <c r="L15" s="27"/>
      <c r="M15" s="34"/>
      <c r="N15" s="27"/>
      <c r="O15" t="s">
        <v>259</v>
      </c>
      <c r="P15" s="112">
        <f>D31/D6</f>
        <v>7.0703535176758911E-2</v>
      </c>
      <c r="Q15" s="112">
        <f>F31/F6</f>
        <v>7.6525402918330654E-2</v>
      </c>
      <c r="R15" s="112">
        <f>H31/H6</f>
        <v>4.4952909925138812E-2</v>
      </c>
      <c r="S15" s="112">
        <f>J31/J6</f>
        <v>8.6747636649789267E-2</v>
      </c>
      <c r="T15" s="112">
        <f>L31/L6</f>
        <v>9.3970526707266008E-2</v>
      </c>
    </row>
    <row r="16" spans="1:21" x14ac:dyDescent="0.25">
      <c r="A16" s="1" t="s">
        <v>39</v>
      </c>
      <c r="B16" s="1"/>
      <c r="C16" s="1"/>
      <c r="D16" s="20">
        <f>+D8-D14</f>
        <v>484.80000000000052</v>
      </c>
      <c r="E16" s="34">
        <f t="shared" si="0"/>
        <v>7.0703535176758911E-2</v>
      </c>
      <c r="F16" s="20">
        <f>+F8-F14</f>
        <v>592.0999999999998</v>
      </c>
      <c r="G16" s="34">
        <f t="shared" si="1"/>
        <v>7.6525402918330654E-2</v>
      </c>
      <c r="H16" s="20">
        <f>+H8-H14</f>
        <v>372.29999999999961</v>
      </c>
      <c r="I16" s="34">
        <f t="shared" si="2"/>
        <v>4.4952909925138812E-2</v>
      </c>
      <c r="J16" s="20">
        <f>+J8-J14</f>
        <v>837.79999999999973</v>
      </c>
      <c r="K16" s="34">
        <f t="shared" si="3"/>
        <v>8.6747636649789267E-2</v>
      </c>
      <c r="L16" s="20">
        <f>+L8-L14</f>
        <v>1010.6999999999996</v>
      </c>
      <c r="M16" s="34">
        <f>L16/$L$6</f>
        <v>9.3970526707266008E-2</v>
      </c>
      <c r="N16" s="25"/>
      <c r="S16" s="3"/>
      <c r="T16" s="3"/>
    </row>
    <row r="17" spans="1:20" x14ac:dyDescent="0.25">
      <c r="A17" s="1"/>
      <c r="B17" s="1"/>
      <c r="C17" s="1"/>
      <c r="D17" s="19"/>
      <c r="E17" s="34"/>
      <c r="F17" s="27"/>
      <c r="G17" s="34"/>
      <c r="H17" s="27"/>
      <c r="I17" s="34"/>
      <c r="J17" s="27"/>
      <c r="K17" s="34"/>
      <c r="L17" s="27"/>
      <c r="M17" s="34"/>
      <c r="N17" s="27"/>
      <c r="O17" t="s">
        <v>254</v>
      </c>
      <c r="P17" s="114">
        <f>MAX(P15:T15)</f>
        <v>9.3970526707266008E-2</v>
      </c>
      <c r="S17" s="3"/>
      <c r="T17" s="3"/>
    </row>
    <row r="18" spans="1:20" x14ac:dyDescent="0.25">
      <c r="A18" s="1" t="s">
        <v>40</v>
      </c>
      <c r="B18" s="1"/>
      <c r="C18" s="1"/>
      <c r="D18" s="19"/>
      <c r="E18" s="34"/>
      <c r="F18" s="27"/>
      <c r="G18" s="34"/>
      <c r="H18" s="27"/>
      <c r="I18" s="34"/>
      <c r="J18" s="27"/>
      <c r="K18" s="34"/>
      <c r="L18" s="27"/>
      <c r="M18" s="34"/>
      <c r="N18" s="27"/>
      <c r="O18" t="s">
        <v>255</v>
      </c>
      <c r="P18" s="114">
        <f>MIN(P15:T15)</f>
        <v>4.4952909925138812E-2</v>
      </c>
      <c r="S18" s="3"/>
      <c r="T18" s="3"/>
    </row>
    <row r="19" spans="1:20" x14ac:dyDescent="0.25">
      <c r="A19" s="1" t="s">
        <v>41</v>
      </c>
      <c r="B19" s="1"/>
      <c r="C19" s="1"/>
      <c r="D19" s="19">
        <v>-59.3</v>
      </c>
      <c r="E19" s="34">
        <f t="shared" si="0"/>
        <v>-8.6483490841208713E-3</v>
      </c>
      <c r="F19" s="19">
        <v>-48.2</v>
      </c>
      <c r="G19" s="34">
        <f t="shared" si="1"/>
        <v>-6.2295632843498384E-3</v>
      </c>
      <c r="H19" s="19">
        <v>-53.4</v>
      </c>
      <c r="I19" s="34">
        <f t="shared" si="2"/>
        <v>-6.4477179425259596E-3</v>
      </c>
      <c r="J19" s="19">
        <v>-68.599999999999994</v>
      </c>
      <c r="K19" s="34">
        <f t="shared" si="3"/>
        <v>-7.102993404363267E-3</v>
      </c>
      <c r="L19" s="19">
        <v>-119.5</v>
      </c>
      <c r="M19" s="34">
        <f t="shared" si="4"/>
        <v>-1.1110594579517456E-2</v>
      </c>
      <c r="N19" s="24"/>
      <c r="O19" t="s">
        <v>256</v>
      </c>
      <c r="P19" s="114">
        <f>AVERAGE(P15:T15)</f>
        <v>7.4580002275456733E-2</v>
      </c>
      <c r="S19" s="3"/>
      <c r="T19" s="3"/>
    </row>
    <row r="20" spans="1:20" x14ac:dyDescent="0.25">
      <c r="A20" s="1" t="s">
        <v>42</v>
      </c>
      <c r="B20" s="1"/>
      <c r="C20" s="1"/>
      <c r="D20" s="6">
        <v>7.5</v>
      </c>
      <c r="E20" s="34">
        <f t="shared" si="0"/>
        <v>1.0938046902345118E-3</v>
      </c>
      <c r="F20" s="6">
        <v>3.5</v>
      </c>
      <c r="G20" s="34">
        <f t="shared" si="1"/>
        <v>4.5235418039884715E-4</v>
      </c>
      <c r="H20" s="6">
        <v>9.5</v>
      </c>
      <c r="I20" s="34">
        <f t="shared" si="2"/>
        <v>1.1470659261048055E-3</v>
      </c>
      <c r="J20" s="6">
        <v>14.8</v>
      </c>
      <c r="K20" s="34">
        <f t="shared" si="3"/>
        <v>1.5324242330113174E-3</v>
      </c>
      <c r="L20" s="6">
        <v>7.6</v>
      </c>
      <c r="M20" s="34">
        <f t="shared" si="4"/>
        <v>7.0661522011993862E-4</v>
      </c>
      <c r="N20" s="24"/>
      <c r="O20" t="s">
        <v>257</v>
      </c>
      <c r="P20" s="114">
        <f>MEDIAN(P15:T15)</f>
        <v>7.6525402918330654E-2</v>
      </c>
    </row>
    <row r="21" spans="1:20" x14ac:dyDescent="0.25">
      <c r="A21" s="1" t="s">
        <v>43</v>
      </c>
      <c r="B21" s="1"/>
      <c r="C21" s="1"/>
      <c r="D21" s="19">
        <v>2.2000000000000002</v>
      </c>
      <c r="E21" s="34">
        <f t="shared" si="0"/>
        <v>3.2084937580212347E-4</v>
      </c>
      <c r="F21" s="19">
        <v>-2.1</v>
      </c>
      <c r="G21" s="34">
        <f t="shared" si="1"/>
        <v>-2.7141250823930829E-4</v>
      </c>
      <c r="H21" s="19">
        <v>-52.8</v>
      </c>
      <c r="I21" s="34">
        <f t="shared" si="2"/>
        <v>-6.3752716735088139E-3</v>
      </c>
      <c r="J21" s="19">
        <v>13.8</v>
      </c>
      <c r="K21" s="34">
        <f t="shared" si="3"/>
        <v>1.4288820551051473E-3</v>
      </c>
      <c r="L21" s="19">
        <v>4.2</v>
      </c>
      <c r="M21" s="34">
        <f t="shared" si="4"/>
        <v>3.9049788480312401E-4</v>
      </c>
      <c r="N21" s="24"/>
      <c r="S21" s="3"/>
      <c r="T21" s="3"/>
    </row>
    <row r="22" spans="1:20" x14ac:dyDescent="0.25">
      <c r="A22" s="1" t="s">
        <v>28</v>
      </c>
      <c r="B22" s="1"/>
      <c r="C22" s="1"/>
      <c r="D22" s="20">
        <f>+D19+D20+D21</f>
        <v>-49.599999999999994</v>
      </c>
      <c r="E22" s="34">
        <f t="shared" si="0"/>
        <v>-7.2336950180842364E-3</v>
      </c>
      <c r="F22" s="20">
        <f>+F19+F20+F21</f>
        <v>-46.800000000000004</v>
      </c>
      <c r="G22" s="34">
        <f t="shared" si="1"/>
        <v>-6.048621612190299E-3</v>
      </c>
      <c r="H22" s="20">
        <f>+H19+H20+H21</f>
        <v>-96.699999999999989</v>
      </c>
      <c r="I22" s="34">
        <f t="shared" si="2"/>
        <v>-1.1675923689929967E-2</v>
      </c>
      <c r="J22" s="20">
        <f>+J19+J20+J21</f>
        <v>-40</v>
      </c>
      <c r="K22" s="34">
        <f t="shared" si="3"/>
        <v>-4.1416871162468036E-3</v>
      </c>
      <c r="L22" s="20">
        <f>+L19+L20+L21</f>
        <v>-107.7</v>
      </c>
      <c r="M22" s="34">
        <f t="shared" si="4"/>
        <v>-1.0013481474594394E-2</v>
      </c>
      <c r="N22" s="24"/>
      <c r="P22" s="116" t="s">
        <v>33</v>
      </c>
      <c r="Q22" s="116"/>
      <c r="R22" s="116"/>
      <c r="S22" s="116"/>
      <c r="T22" s="116"/>
    </row>
    <row r="23" spans="1:20" x14ac:dyDescent="0.25">
      <c r="A23" s="1"/>
      <c r="B23" s="1"/>
      <c r="C23" s="1"/>
      <c r="D23" s="21"/>
      <c r="E23" s="34"/>
      <c r="F23" s="104"/>
      <c r="G23" s="34"/>
      <c r="H23" s="104"/>
      <c r="I23" s="34"/>
      <c r="J23" s="104"/>
      <c r="K23" s="34"/>
      <c r="L23" s="104"/>
      <c r="M23" s="34"/>
      <c r="N23" s="27"/>
      <c r="P23" s="1">
        <v>2020</v>
      </c>
      <c r="Q23" s="1">
        <v>2021</v>
      </c>
      <c r="R23" s="1">
        <v>2022</v>
      </c>
      <c r="S23" s="1">
        <v>2023</v>
      </c>
      <c r="T23" s="3">
        <v>2024</v>
      </c>
    </row>
    <row r="24" spans="1:20" x14ac:dyDescent="0.25">
      <c r="A24" s="1" t="s">
        <v>29</v>
      </c>
      <c r="B24" s="1"/>
      <c r="C24" s="1"/>
      <c r="D24" s="19">
        <f>+D16+D22</f>
        <v>435.2000000000005</v>
      </c>
      <c r="E24" s="34">
        <f t="shared" si="0"/>
        <v>6.346984015867467E-2</v>
      </c>
      <c r="F24" s="19">
        <f>+F16+F22</f>
        <v>545.29999999999984</v>
      </c>
      <c r="G24" s="34">
        <f t="shared" si="1"/>
        <v>7.0476781306140365E-2</v>
      </c>
      <c r="H24" s="19">
        <f>+H16+H22</f>
        <v>275.59999999999962</v>
      </c>
      <c r="I24" s="34">
        <f t="shared" si="2"/>
        <v>3.327698623520884E-2</v>
      </c>
      <c r="J24" s="19">
        <f>+J16+J22</f>
        <v>797.79999999999973</v>
      </c>
      <c r="K24" s="34">
        <f t="shared" si="3"/>
        <v>8.2605949533542458E-2</v>
      </c>
      <c r="L24" s="19">
        <f>+L16+L22</f>
        <v>902.99999999999955</v>
      </c>
      <c r="M24" s="34">
        <f t="shared" si="4"/>
        <v>8.3957045232671612E-2</v>
      </c>
      <c r="N24" s="24"/>
      <c r="O24" t="s">
        <v>259</v>
      </c>
      <c r="R24" s="112">
        <f>'Balance Sheet'!C81/'Income Statement'!H6</f>
        <v>3.9133059647428171E-2</v>
      </c>
      <c r="S24" s="115">
        <f>'Balance Sheet'!D81/J6</f>
        <v>3.7088808125990101E-2</v>
      </c>
      <c r="T24" s="113">
        <f>'Balance Sheet'!E81/'Income Statement'!L6</f>
        <v>2.1570359351029706E-2</v>
      </c>
    </row>
    <row r="25" spans="1:20" x14ac:dyDescent="0.25">
      <c r="A25" s="1" t="s">
        <v>44</v>
      </c>
      <c r="B25" s="1"/>
      <c r="C25" s="1"/>
      <c r="D25" s="19">
        <v>111.9</v>
      </c>
      <c r="E25" s="34">
        <f t="shared" si="0"/>
        <v>1.6319565978298915E-2</v>
      </c>
      <c r="F25" s="19">
        <v>36.4</v>
      </c>
      <c r="G25" s="34">
        <f t="shared" si="1"/>
        <v>4.7044834761480097E-3</v>
      </c>
      <c r="H25" s="19">
        <v>97.5</v>
      </c>
      <c r="I25" s="34">
        <f t="shared" si="2"/>
        <v>1.1772518715286163E-2</v>
      </c>
      <c r="J25" s="19">
        <v>190</v>
      </c>
      <c r="K25" s="34">
        <f t="shared" si="3"/>
        <v>1.9673013802172314E-2</v>
      </c>
      <c r="L25" s="19">
        <v>210</v>
      </c>
      <c r="M25" s="34">
        <f t="shared" si="4"/>
        <v>1.9524894240156198E-2</v>
      </c>
      <c r="N25" s="24"/>
      <c r="S25" s="4"/>
      <c r="T25" s="4"/>
    </row>
    <row r="26" spans="1:20" x14ac:dyDescent="0.25">
      <c r="A26" s="1" t="s">
        <v>30</v>
      </c>
      <c r="B26" s="1"/>
      <c r="C26" s="1"/>
      <c r="D26" s="16">
        <f>+D24-D25</f>
        <v>323.30000000000052</v>
      </c>
      <c r="E26" s="34">
        <f t="shared" si="0"/>
        <v>4.7150274180375762E-2</v>
      </c>
      <c r="F26" s="16">
        <f>+F24-F25</f>
        <v>508.89999999999986</v>
      </c>
      <c r="G26" s="34">
        <f t="shared" si="1"/>
        <v>6.577229782999236E-2</v>
      </c>
      <c r="H26" s="16">
        <f>+H24-H25</f>
        <v>178.09999999999962</v>
      </c>
      <c r="I26" s="34">
        <f t="shared" si="2"/>
        <v>2.1504467519922677E-2</v>
      </c>
      <c r="J26" s="16">
        <f>+J24-J25</f>
        <v>607.79999999999973</v>
      </c>
      <c r="K26" s="34">
        <f t="shared" si="3"/>
        <v>6.2932935731370154E-2</v>
      </c>
      <c r="L26" s="16">
        <f>+L24-L25</f>
        <v>692.99999999999955</v>
      </c>
      <c r="M26" s="34">
        <f t="shared" si="4"/>
        <v>6.4432150992515411E-2</v>
      </c>
      <c r="N26" s="25"/>
      <c r="S26" s="2"/>
      <c r="T26" s="2"/>
    </row>
    <row r="27" spans="1:20" x14ac:dyDescent="0.25">
      <c r="A27" s="1"/>
      <c r="B27" s="1"/>
      <c r="C27" s="1"/>
      <c r="D27" s="2"/>
      <c r="E27" s="25"/>
      <c r="F27" s="2"/>
      <c r="G27" s="25"/>
      <c r="H27" s="2"/>
      <c r="I27" s="25"/>
      <c r="J27" s="2"/>
      <c r="K27" s="25"/>
      <c r="L27" s="2"/>
      <c r="M27" s="25"/>
      <c r="N27" s="25"/>
      <c r="O27" t="s">
        <v>254</v>
      </c>
      <c r="P27" s="114">
        <f>MAX(R24:T24)</f>
        <v>3.9133059647428171E-2</v>
      </c>
      <c r="S27" s="2"/>
      <c r="T27" s="2"/>
    </row>
    <row r="28" spans="1:20" x14ac:dyDescent="0.25">
      <c r="A28" s="1" t="s">
        <v>112</v>
      </c>
      <c r="B28" s="1"/>
      <c r="C28" s="1"/>
      <c r="D28" s="50">
        <f>D25/D24</f>
        <v>0.25712316176470562</v>
      </c>
      <c r="F28" s="50">
        <f>F25/F24</f>
        <v>6.6752246469833132E-2</v>
      </c>
      <c r="H28" s="50">
        <f>H25/H24</f>
        <v>0.35377358490566085</v>
      </c>
      <c r="J28" s="50">
        <f>J25/J24</f>
        <v>0.2381549260466283</v>
      </c>
      <c r="L28" s="50">
        <f>L25/L24</f>
        <v>0.23255813953488383</v>
      </c>
      <c r="N28" s="25"/>
      <c r="O28" t="s">
        <v>255</v>
      </c>
      <c r="P28" s="114">
        <f>MIN(R24:T24)</f>
        <v>2.1570359351029706E-2</v>
      </c>
      <c r="S28" s="2"/>
      <c r="T28" s="2"/>
    </row>
    <row r="29" spans="1:20" x14ac:dyDescent="0.25">
      <c r="O29" t="s">
        <v>256</v>
      </c>
      <c r="P29" s="114">
        <f>AVERAGE(R24:T24)</f>
        <v>3.2597409041482658E-2</v>
      </c>
    </row>
    <row r="30" spans="1:20" x14ac:dyDescent="0.25">
      <c r="A30" s="1" t="s">
        <v>35</v>
      </c>
      <c r="D30" s="12">
        <v>2020</v>
      </c>
      <c r="F30" s="12">
        <v>2021</v>
      </c>
      <c r="H30" s="14" t="s">
        <v>3</v>
      </c>
      <c r="J30" s="13" t="s">
        <v>2</v>
      </c>
      <c r="L30" s="17">
        <v>2024</v>
      </c>
      <c r="O30" t="s">
        <v>257</v>
      </c>
      <c r="P30" s="114">
        <f>MEDIAN(R24:T24)</f>
        <v>3.7088808125990101E-2</v>
      </c>
    </row>
    <row r="31" spans="1:20" x14ac:dyDescent="0.25">
      <c r="A31" s="7" t="s">
        <v>46</v>
      </c>
      <c r="B31" s="35"/>
      <c r="C31" s="35"/>
      <c r="D31" s="18">
        <f>D8-D14</f>
        <v>484.80000000000052</v>
      </c>
      <c r="E31" s="26"/>
      <c r="F31" s="18">
        <f>F8-F14</f>
        <v>592.0999999999998</v>
      </c>
      <c r="H31" s="18">
        <f>H8-H14</f>
        <v>372.29999999999961</v>
      </c>
      <c r="I31" s="26"/>
      <c r="J31" s="18">
        <f>J8-J14</f>
        <v>837.79999999999973</v>
      </c>
      <c r="L31" s="18">
        <f>L8-L14</f>
        <v>1010.6999999999996</v>
      </c>
    </row>
    <row r="32" spans="1:20" x14ac:dyDescent="0.25">
      <c r="A32" s="7" t="s">
        <v>73</v>
      </c>
      <c r="B32" s="35"/>
      <c r="C32" s="35"/>
      <c r="D32" s="18">
        <f>D11</f>
        <v>93</v>
      </c>
      <c r="E32" s="26"/>
      <c r="F32" s="18">
        <f>F11</f>
        <v>94.600000000000009</v>
      </c>
      <c r="H32" s="18">
        <f>H11</f>
        <v>88.3</v>
      </c>
      <c r="I32" s="26"/>
      <c r="J32" s="18">
        <f>J11</f>
        <v>126.9</v>
      </c>
      <c r="L32" s="18">
        <f>L11</f>
        <v>145.39999999999998</v>
      </c>
    </row>
    <row r="33" spans="1:14" x14ac:dyDescent="0.25">
      <c r="A33" s="7" t="s">
        <v>47</v>
      </c>
      <c r="B33" s="11"/>
      <c r="C33" s="11"/>
      <c r="D33" s="18">
        <f>D12</f>
        <v>11</v>
      </c>
      <c r="E33" s="26"/>
      <c r="F33" s="18">
        <f>F12</f>
        <v>9.6</v>
      </c>
      <c r="H33" s="18">
        <f>H12</f>
        <v>11.6</v>
      </c>
      <c r="I33" s="26"/>
      <c r="J33" s="18">
        <f>J12</f>
        <v>32.799999999999997</v>
      </c>
      <c r="L33" s="18">
        <f>L12</f>
        <v>54.7</v>
      </c>
    </row>
    <row r="34" spans="1:14" x14ac:dyDescent="0.25">
      <c r="A34" s="7" t="s">
        <v>48</v>
      </c>
      <c r="D34" s="18">
        <f>D13</f>
        <v>0</v>
      </c>
      <c r="E34" s="26"/>
      <c r="F34" s="18">
        <f>F13</f>
        <v>0</v>
      </c>
      <c r="H34" s="18">
        <f>H13</f>
        <v>7.7</v>
      </c>
      <c r="I34" s="26"/>
      <c r="J34" s="18">
        <f>J13</f>
        <v>0</v>
      </c>
      <c r="L34" s="18">
        <f>L13</f>
        <v>51.6</v>
      </c>
    </row>
    <row r="35" spans="1:14" x14ac:dyDescent="0.25">
      <c r="A35" t="s">
        <v>49</v>
      </c>
      <c r="D35" s="23">
        <f>SUM(D31:D34)</f>
        <v>588.80000000000052</v>
      </c>
      <c r="E35" s="26"/>
      <c r="F35" s="23">
        <f>SUM(F31:F34)</f>
        <v>696.29999999999984</v>
      </c>
      <c r="G35" s="11"/>
      <c r="H35" s="23">
        <f>SUM(H31:H34)</f>
        <v>479.89999999999964</v>
      </c>
      <c r="I35" s="26"/>
      <c r="J35" s="23">
        <f>SUM(J31:J34)</f>
        <v>997.49999999999966</v>
      </c>
      <c r="K35" s="11"/>
      <c r="L35" s="23">
        <f>SUM(L31:L34)</f>
        <v>1262.3999999999994</v>
      </c>
      <c r="M35" s="11"/>
      <c r="N35" s="11"/>
    </row>
    <row r="36" spans="1:14" x14ac:dyDescent="0.25">
      <c r="A36" t="s">
        <v>91</v>
      </c>
      <c r="D36" s="32">
        <f>D35/D6</f>
        <v>8.587096021467748E-2</v>
      </c>
      <c r="E36" s="26"/>
      <c r="F36" s="32">
        <f>F35/F6</f>
        <v>8.9992633089062052E-2</v>
      </c>
      <c r="G36" s="11"/>
      <c r="H36" s="32">
        <f>H35/H6</f>
        <v>5.7944940835546924E-2</v>
      </c>
      <c r="I36" s="26"/>
      <c r="J36" s="32">
        <f>J35/J6</f>
        <v>0.10328332246140462</v>
      </c>
      <c r="K36" s="11"/>
      <c r="L36" s="32">
        <f>L35/L6</f>
        <v>0.11737250708939607</v>
      </c>
      <c r="M36" s="11"/>
      <c r="N36" s="11"/>
    </row>
    <row r="37" spans="1:14" x14ac:dyDescent="0.25">
      <c r="D37" s="33"/>
      <c r="E37" s="26"/>
      <c r="F37" s="33"/>
      <c r="G37" s="11"/>
      <c r="H37" s="33"/>
      <c r="I37" s="26"/>
      <c r="J37" s="33"/>
      <c r="K37" s="11"/>
      <c r="L37" s="26"/>
      <c r="M37" s="11"/>
      <c r="N37" s="11"/>
    </row>
    <row r="38" spans="1:14" x14ac:dyDescent="0.25">
      <c r="A38" s="1" t="s">
        <v>97</v>
      </c>
      <c r="D38" s="33"/>
      <c r="E38" s="26"/>
      <c r="F38" s="33"/>
      <c r="G38" s="11"/>
      <c r="H38" s="33"/>
      <c r="I38" s="26"/>
      <c r="J38" s="33"/>
      <c r="K38" s="11"/>
      <c r="L38" s="26"/>
      <c r="M38" s="11"/>
      <c r="N38" s="11"/>
    </row>
    <row r="39" spans="1:14" x14ac:dyDescent="0.25">
      <c r="A39" t="s">
        <v>98</v>
      </c>
      <c r="D39" s="33"/>
      <c r="E39" s="26"/>
      <c r="F39" s="32">
        <f>F6/D6-1</f>
        <v>0.12841267063353157</v>
      </c>
      <c r="G39" s="11"/>
      <c r="H39" s="32">
        <f>H6/F6-1</f>
        <v>7.0399234875214933E-2</v>
      </c>
      <c r="I39" s="26"/>
      <c r="J39" s="32">
        <f>J6/H6-1</f>
        <v>0.16613136923448435</v>
      </c>
      <c r="K39" s="11"/>
      <c r="L39" s="32">
        <f>L6/J6-1</f>
        <v>0.11364789446981227</v>
      </c>
      <c r="M39" s="11"/>
      <c r="N39" s="11"/>
    </row>
    <row r="40" spans="1:14" x14ac:dyDescent="0.25">
      <c r="A40" t="s">
        <v>99</v>
      </c>
      <c r="D40" s="33"/>
      <c r="E40" s="26"/>
      <c r="F40" s="32">
        <f>F8/D8-1</f>
        <v>0.13597276961662419</v>
      </c>
      <c r="G40" s="37"/>
      <c r="H40" s="32">
        <f>H8/F8-1</f>
        <v>-0.16858539662513816</v>
      </c>
      <c r="I40" s="26"/>
      <c r="J40" s="32">
        <f>J8/H8-1</f>
        <v>0.59417678300455257</v>
      </c>
      <c r="K40" s="37"/>
      <c r="L40" s="32">
        <f>L8/J8-1</f>
        <v>0.17163424355999757</v>
      </c>
      <c r="M40" s="11"/>
      <c r="N40" s="11"/>
    </row>
    <row r="41" spans="1:14" x14ac:dyDescent="0.25">
      <c r="A41" t="s">
        <v>39</v>
      </c>
      <c r="D41" s="33"/>
      <c r="E41" s="26"/>
      <c r="F41" s="32">
        <f>F16/D16-1</f>
        <v>0.22132838283828216</v>
      </c>
      <c r="G41" s="11"/>
      <c r="H41" s="32">
        <f>H16/F16-1</f>
        <v>-0.37122107752068956</v>
      </c>
      <c r="I41" s="26"/>
      <c r="J41" s="32">
        <f>J16/H16-1</f>
        <v>1.2503357507386532</v>
      </c>
      <c r="K41" s="11"/>
      <c r="L41" s="32">
        <f>L16/J16-1</f>
        <v>0.2063738362377654</v>
      </c>
      <c r="M41" s="11"/>
      <c r="N41" s="11"/>
    </row>
    <row r="42" spans="1:14" x14ac:dyDescent="0.25">
      <c r="A42" t="s">
        <v>100</v>
      </c>
      <c r="D42" s="33"/>
      <c r="E42" s="26"/>
      <c r="F42" s="32">
        <f>F26/D26-1</f>
        <v>0.5740798020414446</v>
      </c>
      <c r="G42" s="11"/>
      <c r="H42" s="32">
        <f>H26/F26-1</f>
        <v>-0.65002947533896704</v>
      </c>
      <c r="I42" s="26"/>
      <c r="J42" s="32">
        <f>J26/H26-1</f>
        <v>2.4126895002807469</v>
      </c>
      <c r="K42" s="11"/>
      <c r="L42" s="32">
        <f>L26/J26-1</f>
        <v>0.14017769002961478</v>
      </c>
      <c r="M42" s="11"/>
      <c r="N42" s="11"/>
    </row>
    <row r="43" spans="1:14" x14ac:dyDescent="0.25">
      <c r="A43" t="s">
        <v>35</v>
      </c>
      <c r="D43" s="33"/>
      <c r="E43" s="26"/>
      <c r="F43" s="32">
        <f>F35/D35-1</f>
        <v>0.18257472826086829</v>
      </c>
      <c r="G43" s="11"/>
      <c r="H43" s="32">
        <f>H35/F35-1</f>
        <v>-0.31078558092776143</v>
      </c>
      <c r="I43" s="26"/>
      <c r="J43" s="32">
        <f>J35/H35-1</f>
        <v>1.0785580329235267</v>
      </c>
      <c r="K43" s="11"/>
      <c r="L43" s="32">
        <f>L35/J35-1</f>
        <v>0.265563909774436</v>
      </c>
      <c r="M43" s="11"/>
      <c r="N43" s="11"/>
    </row>
    <row r="44" spans="1:14" x14ac:dyDescent="0.25">
      <c r="D44" s="33"/>
      <c r="E44" s="26"/>
      <c r="F44" s="36"/>
      <c r="G44" s="11"/>
      <c r="H44" s="33"/>
      <c r="I44" s="26"/>
      <c r="J44" s="36"/>
      <c r="K44" s="11"/>
      <c r="L44" s="36"/>
      <c r="M44" s="11"/>
      <c r="N44" s="11"/>
    </row>
    <row r="45" spans="1:14" x14ac:dyDescent="0.25">
      <c r="D45" s="68"/>
      <c r="E45" s="69"/>
      <c r="F45" s="69"/>
      <c r="G45" s="70"/>
      <c r="H45" s="68"/>
      <c r="I45" s="69"/>
      <c r="J45" s="69"/>
      <c r="K45" s="70"/>
      <c r="L45" s="71"/>
      <c r="M45" s="11"/>
      <c r="N45" s="11"/>
    </row>
    <row r="46" spans="1:14" x14ac:dyDescent="0.25">
      <c r="A46" s="1" t="s">
        <v>37</v>
      </c>
      <c r="B46" s="1"/>
      <c r="C46" s="12"/>
      <c r="D46" s="47">
        <v>2020</v>
      </c>
      <c r="E46" s="48"/>
      <c r="F46" s="48">
        <v>2021</v>
      </c>
      <c r="G46" s="48"/>
      <c r="H46" s="47">
        <v>2022</v>
      </c>
      <c r="I46" s="48"/>
      <c r="J46" s="48">
        <v>2023</v>
      </c>
      <c r="K46" s="48"/>
      <c r="L46" s="57">
        <v>2024</v>
      </c>
    </row>
    <row r="48" spans="1:14" x14ac:dyDescent="0.25">
      <c r="A48" t="s">
        <v>92</v>
      </c>
    </row>
    <row r="49" spans="1:12" x14ac:dyDescent="0.25">
      <c r="A49" t="s">
        <v>93</v>
      </c>
      <c r="D49" s="10">
        <f>D26</f>
        <v>323.30000000000052</v>
      </c>
      <c r="F49" s="10">
        <f>F26</f>
        <v>508.89999999999986</v>
      </c>
      <c r="H49" s="10">
        <f>H26</f>
        <v>178.09999999999962</v>
      </c>
      <c r="J49" s="10">
        <f>J26</f>
        <v>607.79999999999973</v>
      </c>
      <c r="L49" s="10">
        <f>L26</f>
        <v>692.99999999999955</v>
      </c>
    </row>
    <row r="50" spans="1:12" x14ac:dyDescent="0.25">
      <c r="A50" t="s">
        <v>117</v>
      </c>
      <c r="D50" s="98">
        <f>SUM(D32:D33)</f>
        <v>104</v>
      </c>
      <c r="E50" s="26"/>
      <c r="F50" s="98">
        <f>SUM(F32:F33)</f>
        <v>104.2</v>
      </c>
      <c r="G50" s="26"/>
      <c r="H50" s="98">
        <f>SUM(H32:H33)</f>
        <v>99.899999999999991</v>
      </c>
      <c r="I50" s="26"/>
      <c r="J50" s="98">
        <f>SUM(J32:J33)</f>
        <v>159.69999999999999</v>
      </c>
      <c r="K50" s="26"/>
      <c r="L50" s="98">
        <f>SUM(L32:L33)</f>
        <v>200.09999999999997</v>
      </c>
    </row>
    <row r="51" spans="1:12" x14ac:dyDescent="0.25">
      <c r="A51" t="s">
        <v>181</v>
      </c>
      <c r="D51" s="33"/>
      <c r="E51" s="33"/>
      <c r="F51" s="33"/>
      <c r="G51" s="33"/>
      <c r="H51" s="18">
        <f>'Balance Sheet'!C76</f>
        <v>270.59999999999923</v>
      </c>
      <c r="I51" s="26"/>
      <c r="J51" s="18">
        <f>'Balance Sheet'!D76</f>
        <v>320.60000000000127</v>
      </c>
      <c r="K51" s="26"/>
      <c r="L51" s="18">
        <f>'Balance Sheet'!E76</f>
        <v>79.899999999998727</v>
      </c>
    </row>
    <row r="52" spans="1:12" x14ac:dyDescent="0.25">
      <c r="A52" t="s">
        <v>94</v>
      </c>
      <c r="D52" s="33"/>
      <c r="E52" s="33"/>
      <c r="F52" s="33"/>
      <c r="G52" s="33"/>
      <c r="H52" s="18">
        <f>'Balance Sheet'!C81</f>
        <v>324.10000000000014</v>
      </c>
      <c r="I52" s="26"/>
      <c r="J52" s="18">
        <f>'Balance Sheet'!D81</f>
        <v>358.19999999999982</v>
      </c>
      <c r="K52" s="26"/>
      <c r="L52" s="18">
        <f>'Balance Sheet'!E81</f>
        <v>232</v>
      </c>
    </row>
    <row r="53" spans="1:12" x14ac:dyDescent="0.25">
      <c r="A53" t="s">
        <v>118</v>
      </c>
      <c r="F53" s="11"/>
      <c r="H53" s="93">
        <f>H49+H50-H51-H52</f>
        <v>-316.69999999999976</v>
      </c>
      <c r="J53" s="93">
        <f>+J49+J50-J51-J52</f>
        <v>88.699999999998681</v>
      </c>
      <c r="L53" s="93">
        <f>L49+L50-L51-L52</f>
        <v>581.20000000000073</v>
      </c>
    </row>
    <row r="55" spans="1:12" x14ac:dyDescent="0.25">
      <c r="A55" t="s">
        <v>225</v>
      </c>
      <c r="H55" s="55">
        <f>H53/H35</f>
        <v>-0.65992915190664725</v>
      </c>
      <c r="J55" s="55">
        <f>J53/J35</f>
        <v>8.8922305764409737E-2</v>
      </c>
      <c r="L55" s="55">
        <f>L53/L35</f>
        <v>0.46039290240811231</v>
      </c>
    </row>
    <row r="58" spans="1:12" x14ac:dyDescent="0.25">
      <c r="A58" t="s">
        <v>195</v>
      </c>
      <c r="H58" s="55">
        <f>H26/(('Balance Sheet'!B49+'Balance Sheet'!C49)/2)</f>
        <v>5.5743348982785483E-2</v>
      </c>
      <c r="J58" s="55">
        <f>J26/(('Balance Sheet'!C49+'Balance Sheet'!D49)/2)</f>
        <v>0.17639888553517521</v>
      </c>
      <c r="L58" s="55">
        <f>L26/(('Balance Sheet'!D49+'Balance Sheet'!E49)/2)</f>
        <v>0.17638973732437374</v>
      </c>
    </row>
    <row r="59" spans="1:12" x14ac:dyDescent="0.25">
      <c r="A59" t="s">
        <v>196</v>
      </c>
      <c r="H59" s="55">
        <f>H26/(('Balance Sheet'!B24+'Balance Sheet'!C24)/2)</f>
        <v>2.4432905540274458E-2</v>
      </c>
      <c r="J59" s="55">
        <f>J26/(('Balance Sheet'!C24+'Balance Sheet'!D24)/2)</f>
        <v>7.2107342420898987E-2</v>
      </c>
      <c r="L59" s="55">
        <f>L26/(('Balance Sheet'!D24+'Balance Sheet'!E24)/2)</f>
        <v>7.4464084242196263E-2</v>
      </c>
    </row>
  </sheetData>
  <mergeCells count="3">
    <mergeCell ref="P3:S3"/>
    <mergeCell ref="P13:T13"/>
    <mergeCell ref="P22:T22"/>
  </mergeCells>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DB08E-234D-454F-8529-5F4291E3A612}">
  <dimension ref="A2:M115"/>
  <sheetViews>
    <sheetView topLeftCell="A49" workbookViewId="0">
      <selection activeCell="A74" sqref="A74"/>
    </sheetView>
  </sheetViews>
  <sheetFormatPr defaultRowHeight="15" x14ac:dyDescent="0.25"/>
  <cols>
    <col min="1" max="1" width="64.7109375" customWidth="1"/>
    <col min="2" max="2" width="12.85546875" customWidth="1"/>
    <col min="3" max="3" width="12.7109375" customWidth="1"/>
    <col min="4" max="4" width="11.5703125" bestFit="1" customWidth="1"/>
    <col min="5" max="5" width="12.5703125" bestFit="1" customWidth="1"/>
    <col min="6" max="6" width="11.5703125" bestFit="1" customWidth="1"/>
  </cols>
  <sheetData>
    <row r="2" spans="1:13" ht="48" customHeight="1" x14ac:dyDescent="0.4">
      <c r="A2" s="77" t="s">
        <v>0</v>
      </c>
      <c r="B2" s="1"/>
      <c r="C2" s="1"/>
      <c r="D2" s="1"/>
    </row>
    <row r="3" spans="1:13" x14ac:dyDescent="0.25">
      <c r="A3" t="s">
        <v>34</v>
      </c>
    </row>
    <row r="4" spans="1:13" x14ac:dyDescent="0.25">
      <c r="A4" s="1"/>
      <c r="B4" s="62"/>
      <c r="C4" s="63" t="s">
        <v>1</v>
      </c>
      <c r="D4" s="63"/>
      <c r="E4" s="72"/>
      <c r="F4" s="1"/>
      <c r="G4" s="1"/>
    </row>
    <row r="5" spans="1:13" x14ac:dyDescent="0.25">
      <c r="A5" s="1"/>
      <c r="B5" s="92">
        <v>2021</v>
      </c>
      <c r="C5" s="66" t="s">
        <v>3</v>
      </c>
      <c r="D5" s="66" t="s">
        <v>2</v>
      </c>
      <c r="E5" s="67">
        <v>2024</v>
      </c>
      <c r="F5" s="1"/>
      <c r="G5" s="1"/>
    </row>
    <row r="6" spans="1:13" x14ac:dyDescent="0.25">
      <c r="A6" s="1" t="s">
        <v>4</v>
      </c>
      <c r="B6" s="1"/>
    </row>
    <row r="7" spans="1:13" x14ac:dyDescent="0.25">
      <c r="A7" t="s">
        <v>5</v>
      </c>
      <c r="B7" s="1"/>
    </row>
    <row r="8" spans="1:13" x14ac:dyDescent="0.25">
      <c r="A8" t="s">
        <v>6</v>
      </c>
      <c r="B8" s="2">
        <v>995.7</v>
      </c>
      <c r="C8" s="2">
        <v>805.9</v>
      </c>
      <c r="D8" s="2">
        <v>125.4</v>
      </c>
      <c r="E8" s="2">
        <v>204.9</v>
      </c>
      <c r="F8" s="2"/>
      <c r="M8" s="2"/>
    </row>
    <row r="9" spans="1:13" x14ac:dyDescent="0.25">
      <c r="A9" t="s">
        <v>7</v>
      </c>
      <c r="B9" s="3">
        <v>973.4</v>
      </c>
      <c r="C9" s="3">
        <v>1162</v>
      </c>
      <c r="D9" s="3">
        <v>1316.4</v>
      </c>
      <c r="E9" s="3">
        <v>1254.7</v>
      </c>
      <c r="F9" s="3"/>
      <c r="M9" s="3"/>
    </row>
    <row r="10" spans="1:13" x14ac:dyDescent="0.25">
      <c r="A10" t="s">
        <v>50</v>
      </c>
      <c r="B10" s="3">
        <v>440.8</v>
      </c>
      <c r="C10" s="3">
        <v>586.29999999999995</v>
      </c>
      <c r="D10" s="3">
        <v>771.6</v>
      </c>
      <c r="E10" s="3">
        <v>697.3</v>
      </c>
      <c r="F10" s="3"/>
      <c r="M10" s="3"/>
    </row>
    <row r="11" spans="1:13" x14ac:dyDescent="0.25">
      <c r="A11" t="s">
        <v>51</v>
      </c>
      <c r="B11" s="3">
        <v>1550.4</v>
      </c>
      <c r="C11" s="3">
        <v>1865.6</v>
      </c>
      <c r="D11" s="3">
        <v>2131.6</v>
      </c>
      <c r="E11" s="3">
        <v>2265.6999999999998</v>
      </c>
      <c r="F11" s="3"/>
      <c r="M11" s="3"/>
    </row>
    <row r="12" spans="1:13" x14ac:dyDescent="0.25">
      <c r="A12" t="s">
        <v>52</v>
      </c>
      <c r="B12" s="3">
        <v>250.3</v>
      </c>
      <c r="C12" s="3">
        <v>21.6</v>
      </c>
      <c r="D12" s="3">
        <v>42.2</v>
      </c>
      <c r="E12" s="3">
        <v>51.2</v>
      </c>
      <c r="F12" s="3"/>
      <c r="M12" s="3"/>
    </row>
    <row r="13" spans="1:13" x14ac:dyDescent="0.25">
      <c r="A13" t="s">
        <v>53</v>
      </c>
      <c r="B13" s="3">
        <v>71.7</v>
      </c>
      <c r="C13" s="3">
        <v>90.7</v>
      </c>
      <c r="D13" s="3">
        <v>93.6</v>
      </c>
      <c r="E13" s="3">
        <v>114.5</v>
      </c>
      <c r="F13" s="3"/>
      <c r="M13" s="3"/>
    </row>
    <row r="14" spans="1:13" x14ac:dyDescent="0.25">
      <c r="A14" t="s">
        <v>54</v>
      </c>
      <c r="B14" s="15">
        <f>SUM(B8:B13)</f>
        <v>4282.3</v>
      </c>
      <c r="C14" s="15">
        <f>SUM(C8:C13)</f>
        <v>4532.0999999999995</v>
      </c>
      <c r="D14" s="15">
        <f>SUM(D8:D13)</f>
        <v>4480.8</v>
      </c>
      <c r="E14" s="15">
        <f>SUM(E8:E13)</f>
        <v>4588.3</v>
      </c>
      <c r="F14" s="3"/>
      <c r="G14" s="35"/>
      <c r="H14" s="35"/>
      <c r="M14" s="3"/>
    </row>
    <row r="15" spans="1:13" x14ac:dyDescent="0.25">
      <c r="F15" s="3"/>
      <c r="G15" s="60"/>
      <c r="H15" s="11"/>
    </row>
    <row r="16" spans="1:13" x14ac:dyDescent="0.25">
      <c r="A16" t="s">
        <v>70</v>
      </c>
      <c r="B16" s="3">
        <v>1480.3</v>
      </c>
      <c r="C16" s="3">
        <v>1804.4</v>
      </c>
      <c r="D16" s="3">
        <v>2162.6</v>
      </c>
      <c r="E16" s="3">
        <v>2394.6</v>
      </c>
      <c r="F16" s="3"/>
    </row>
    <row r="17" spans="1:13" x14ac:dyDescent="0.25">
      <c r="A17" t="s">
        <v>71</v>
      </c>
      <c r="B17" s="3">
        <v>-887.1</v>
      </c>
      <c r="C17" s="3">
        <v>-978.2</v>
      </c>
      <c r="D17" s="3">
        <v>-1093.0999999999999</v>
      </c>
      <c r="E17" s="3">
        <v>-1178.0999999999999</v>
      </c>
      <c r="F17" s="3"/>
      <c r="M17" s="2"/>
    </row>
    <row r="18" spans="1:13" x14ac:dyDescent="0.25">
      <c r="A18" t="s">
        <v>72</v>
      </c>
      <c r="B18" s="3">
        <f>+B16+B17</f>
        <v>593.19999999999993</v>
      </c>
      <c r="C18" s="3">
        <f>+C16+C17</f>
        <v>826.2</v>
      </c>
      <c r="D18" s="3">
        <f>+D16+D17</f>
        <v>1069.5</v>
      </c>
      <c r="E18" s="3">
        <f>+E16+E17</f>
        <v>1216.5</v>
      </c>
      <c r="F18" s="3"/>
      <c r="M18" s="21"/>
    </row>
    <row r="19" spans="1:13" x14ac:dyDescent="0.25">
      <c r="A19" t="s">
        <v>8</v>
      </c>
      <c r="B19" s="3">
        <v>1049</v>
      </c>
      <c r="C19" s="3">
        <v>1042</v>
      </c>
      <c r="D19" s="3">
        <v>1416.4</v>
      </c>
      <c r="E19" s="3">
        <v>1410</v>
      </c>
      <c r="F19" s="3"/>
      <c r="M19" s="3"/>
    </row>
    <row r="20" spans="1:13" x14ac:dyDescent="0.25">
      <c r="A20" t="s">
        <v>55</v>
      </c>
      <c r="B20" s="3">
        <v>464</v>
      </c>
      <c r="C20" s="3">
        <v>457</v>
      </c>
      <c r="D20" s="3">
        <v>830.2</v>
      </c>
      <c r="E20" s="3">
        <v>777.6</v>
      </c>
      <c r="F20" s="3"/>
      <c r="M20" s="3"/>
    </row>
    <row r="21" spans="1:13" x14ac:dyDescent="0.25">
      <c r="A21" t="s">
        <v>56</v>
      </c>
      <c r="B21" s="3">
        <v>71.7</v>
      </c>
      <c r="C21" s="3">
        <v>134.80000000000001</v>
      </c>
      <c r="D21" s="3">
        <v>262</v>
      </c>
      <c r="E21" s="3">
        <v>259</v>
      </c>
      <c r="F21" s="3"/>
      <c r="M21" s="3"/>
    </row>
    <row r="22" spans="1:13" x14ac:dyDescent="0.25">
      <c r="A22" t="s">
        <v>57</v>
      </c>
      <c r="B22" s="3">
        <v>0</v>
      </c>
      <c r="C22" s="3">
        <v>415.8</v>
      </c>
      <c r="D22" s="3">
        <v>710.7</v>
      </c>
      <c r="E22" s="3">
        <v>842.6</v>
      </c>
      <c r="F22" s="3"/>
      <c r="M22" s="3"/>
    </row>
    <row r="23" spans="1:13" x14ac:dyDescent="0.25">
      <c r="A23" t="s">
        <v>58</v>
      </c>
      <c r="B23" s="3">
        <v>389.5</v>
      </c>
      <c r="C23" s="3">
        <v>321.10000000000002</v>
      </c>
      <c r="D23" s="3">
        <v>359.6</v>
      </c>
      <c r="E23" s="3">
        <v>389.8</v>
      </c>
      <c r="F23" s="3"/>
      <c r="M23" s="3"/>
    </row>
    <row r="24" spans="1:13" x14ac:dyDescent="0.25">
      <c r="A24" t="s">
        <v>59</v>
      </c>
      <c r="B24" s="16">
        <f>SUM(B18:B23)+B14</f>
        <v>6849.7</v>
      </c>
      <c r="C24" s="16">
        <f>SUM(C18:C23)+C14</f>
        <v>7729</v>
      </c>
      <c r="D24" s="16">
        <f>SUM(D18:D23)+D14</f>
        <v>9129.2000000000007</v>
      </c>
      <c r="E24" s="16">
        <f>SUM(E18:E23)+E14</f>
        <v>9483.7999999999993</v>
      </c>
      <c r="F24" s="2"/>
    </row>
    <row r="25" spans="1:13" x14ac:dyDescent="0.25">
      <c r="A25" s="1"/>
      <c r="B25" s="2"/>
      <c r="C25" s="2"/>
      <c r="D25" s="2"/>
      <c r="E25" s="2"/>
      <c r="F25" s="2"/>
    </row>
    <row r="26" spans="1:13" x14ac:dyDescent="0.25">
      <c r="A26" t="s">
        <v>9</v>
      </c>
    </row>
    <row r="27" spans="1:13" x14ac:dyDescent="0.25">
      <c r="A27" t="s">
        <v>10</v>
      </c>
    </row>
    <row r="28" spans="1:13" x14ac:dyDescent="0.25">
      <c r="A28" t="s">
        <v>11</v>
      </c>
      <c r="B28" s="2">
        <v>747.4</v>
      </c>
      <c r="C28" s="2">
        <v>1129</v>
      </c>
      <c r="D28" s="2">
        <v>1214.5</v>
      </c>
      <c r="E28" s="2">
        <v>1143.4000000000001</v>
      </c>
      <c r="F28" s="2"/>
    </row>
    <row r="29" spans="1:13" x14ac:dyDescent="0.25">
      <c r="A29" t="s">
        <v>60</v>
      </c>
      <c r="B29" s="19">
        <v>0</v>
      </c>
      <c r="C29" s="19">
        <v>9.6999999999999993</v>
      </c>
      <c r="D29" s="19">
        <v>175</v>
      </c>
      <c r="E29" s="19">
        <v>362.3</v>
      </c>
      <c r="F29" s="2"/>
    </row>
    <row r="30" spans="1:13" x14ac:dyDescent="0.25">
      <c r="A30" t="s">
        <v>61</v>
      </c>
      <c r="B30" s="3">
        <v>690.9</v>
      </c>
      <c r="C30" s="3">
        <v>696.7</v>
      </c>
      <c r="D30" s="3">
        <v>706.9</v>
      </c>
      <c r="E30" s="3">
        <v>648.79999999999995</v>
      </c>
      <c r="F30" s="3"/>
    </row>
    <row r="31" spans="1:13" x14ac:dyDescent="0.25">
      <c r="A31" t="s">
        <v>62</v>
      </c>
      <c r="B31" s="3">
        <v>118.4</v>
      </c>
      <c r="C31" s="3">
        <v>119.5</v>
      </c>
      <c r="D31" s="3">
        <v>242.5</v>
      </c>
      <c r="E31" s="3">
        <v>246.2</v>
      </c>
      <c r="F31" s="3"/>
    </row>
    <row r="32" spans="1:13" x14ac:dyDescent="0.25">
      <c r="A32" t="s">
        <v>63</v>
      </c>
      <c r="B32" s="3">
        <v>221.4</v>
      </c>
      <c r="C32" s="3">
        <v>100.3</v>
      </c>
      <c r="D32" s="3">
        <v>308</v>
      </c>
      <c r="E32" s="3">
        <v>140.1</v>
      </c>
      <c r="F32" s="3"/>
    </row>
    <row r="33" spans="1:8" x14ac:dyDescent="0.25">
      <c r="A33" t="s">
        <v>64</v>
      </c>
      <c r="B33" s="3">
        <v>364.2</v>
      </c>
      <c r="C33" s="3">
        <v>373.4</v>
      </c>
      <c r="D33" s="3">
        <v>442.7</v>
      </c>
      <c r="E33" s="3">
        <v>507.3</v>
      </c>
      <c r="F33" s="3"/>
    </row>
    <row r="34" spans="1:8" x14ac:dyDescent="0.25">
      <c r="A34" t="s">
        <v>65</v>
      </c>
      <c r="B34" s="15">
        <f>SUM(B28:B33)</f>
        <v>2142.3000000000002</v>
      </c>
      <c r="C34" s="15">
        <f>SUM(C28:C33)</f>
        <v>2428.6000000000004</v>
      </c>
      <c r="D34" s="15">
        <f>SUM(D28:D33)</f>
        <v>3089.6</v>
      </c>
      <c r="E34" s="15">
        <f>SUM(E28:E33)</f>
        <v>3048.1</v>
      </c>
      <c r="F34" s="3"/>
      <c r="G34" s="35"/>
      <c r="H34" s="35"/>
    </row>
    <row r="35" spans="1:8" x14ac:dyDescent="0.25">
      <c r="A35" s="1"/>
      <c r="B35" s="3"/>
      <c r="C35" s="3"/>
      <c r="D35" s="3"/>
      <c r="E35" s="3"/>
      <c r="F35" s="3"/>
      <c r="G35" s="60"/>
      <c r="H35" s="91"/>
    </row>
    <row r="36" spans="1:8" x14ac:dyDescent="0.25">
      <c r="A36" t="s">
        <v>12</v>
      </c>
      <c r="B36" s="3">
        <v>819</v>
      </c>
      <c r="C36" s="3">
        <v>595</v>
      </c>
      <c r="D36" s="3">
        <v>597.5</v>
      </c>
      <c r="E36" s="3">
        <v>599.5</v>
      </c>
      <c r="F36" s="3"/>
    </row>
    <row r="37" spans="1:8" x14ac:dyDescent="0.25">
      <c r="A37" t="s">
        <v>66</v>
      </c>
      <c r="B37" s="3">
        <v>207</v>
      </c>
      <c r="C37" s="3">
        <v>1020.5</v>
      </c>
      <c r="D37" s="3">
        <v>1190.7</v>
      </c>
      <c r="E37" s="3">
        <v>1154.4000000000001</v>
      </c>
      <c r="F37" s="3"/>
    </row>
    <row r="38" spans="1:8" x14ac:dyDescent="0.25">
      <c r="A38" t="s">
        <v>13</v>
      </c>
      <c r="B38" s="3">
        <v>0</v>
      </c>
      <c r="C38" s="3">
        <v>0</v>
      </c>
      <c r="D38" s="3">
        <v>26.8</v>
      </c>
      <c r="E38" s="3">
        <v>26.9</v>
      </c>
      <c r="F38" s="3"/>
    </row>
    <row r="39" spans="1:8" x14ac:dyDescent="0.25">
      <c r="A39" t="s">
        <v>14</v>
      </c>
      <c r="B39" s="3">
        <v>476.4</v>
      </c>
      <c r="C39" s="3">
        <v>499.2</v>
      </c>
      <c r="D39" s="3">
        <v>519.29999999999995</v>
      </c>
      <c r="E39" s="3">
        <v>502.9</v>
      </c>
      <c r="F39" s="3"/>
    </row>
    <row r="40" spans="1:8" x14ac:dyDescent="0.25">
      <c r="A40" t="s">
        <v>67</v>
      </c>
      <c r="B40" s="3">
        <f>SUM(B36:B39)+B34</f>
        <v>3644.7000000000003</v>
      </c>
      <c r="C40" s="3">
        <f>SUM(C36:C39)+C34</f>
        <v>4543.3</v>
      </c>
      <c r="D40" s="3">
        <f>SUM(D36:D39)+D34</f>
        <v>5423.9</v>
      </c>
      <c r="E40" s="3">
        <f>SUM(E36:E39)+E34</f>
        <v>5331.8</v>
      </c>
      <c r="F40" s="3"/>
    </row>
    <row r="41" spans="1:8" x14ac:dyDescent="0.25">
      <c r="A41" s="1"/>
      <c r="B41" s="3"/>
      <c r="C41" s="3"/>
      <c r="D41" s="3"/>
      <c r="E41" s="3"/>
      <c r="F41" s="3"/>
    </row>
    <row r="42" spans="1:8" x14ac:dyDescent="0.25">
      <c r="A42" t="s">
        <v>15</v>
      </c>
    </row>
    <row r="43" spans="1:8" ht="15" customHeight="1" x14ac:dyDescent="0.25">
      <c r="A43" s="51" t="s">
        <v>68</v>
      </c>
      <c r="B43" s="1">
        <v>0</v>
      </c>
      <c r="C43" s="1">
        <v>0</v>
      </c>
      <c r="D43" s="1">
        <v>0</v>
      </c>
      <c r="E43" s="1">
        <v>0</v>
      </c>
      <c r="F43" s="1"/>
    </row>
    <row r="44" spans="1:8" ht="15" customHeight="1" x14ac:dyDescent="0.25">
      <c r="A44" s="51" t="s">
        <v>115</v>
      </c>
      <c r="B44" s="22">
        <v>0.7</v>
      </c>
      <c r="C44" s="22">
        <v>0.7</v>
      </c>
      <c r="D44" s="22">
        <v>0.7</v>
      </c>
      <c r="E44" s="22">
        <v>0.7</v>
      </c>
      <c r="F44" s="3"/>
    </row>
    <row r="45" spans="1:8" x14ac:dyDescent="0.25">
      <c r="A45" t="s">
        <v>16</v>
      </c>
      <c r="B45" s="3">
        <v>792.4</v>
      </c>
      <c r="C45" s="3">
        <v>806</v>
      </c>
      <c r="D45" s="3">
        <v>823</v>
      </c>
      <c r="E45" s="3">
        <v>841</v>
      </c>
      <c r="F45" s="3"/>
    </row>
    <row r="46" spans="1:8" x14ac:dyDescent="0.25">
      <c r="A46" t="s">
        <v>17</v>
      </c>
      <c r="B46" s="4">
        <v>-128.6</v>
      </c>
      <c r="C46" s="4">
        <v>-92.3</v>
      </c>
      <c r="D46" s="4">
        <v>-72</v>
      </c>
      <c r="E46" s="4">
        <v>-72.3</v>
      </c>
      <c r="F46" s="4"/>
    </row>
    <row r="47" spans="1:8" x14ac:dyDescent="0.25">
      <c r="A47" t="s">
        <v>18</v>
      </c>
      <c r="B47" s="3">
        <v>3238.5</v>
      </c>
      <c r="C47" s="3">
        <v>3315</v>
      </c>
      <c r="D47" s="3">
        <v>3805.8</v>
      </c>
      <c r="E47" s="3">
        <f>+E49-E48-E46-E45-E44</f>
        <v>4294.1000000000004</v>
      </c>
      <c r="F47" s="3"/>
    </row>
    <row r="48" spans="1:8" x14ac:dyDescent="0.25">
      <c r="A48" t="s">
        <v>116</v>
      </c>
      <c r="B48" s="3">
        <v>-698.7</v>
      </c>
      <c r="C48" s="3">
        <v>-843.7</v>
      </c>
      <c r="D48" s="3">
        <v>-852</v>
      </c>
      <c r="E48" s="3">
        <v>-911.4</v>
      </c>
      <c r="F48" s="3"/>
    </row>
    <row r="49" spans="1:6" x14ac:dyDescent="0.25">
      <c r="A49" t="s">
        <v>69</v>
      </c>
      <c r="B49" s="15">
        <f>SUM(B43:B48)</f>
        <v>3204.3</v>
      </c>
      <c r="C49" s="15">
        <f>SUM(C43:C48)</f>
        <v>3185.7</v>
      </c>
      <c r="D49" s="15">
        <f>SUM(D43:D48)</f>
        <v>3705.5</v>
      </c>
      <c r="E49" s="15">
        <v>4152.1000000000004</v>
      </c>
      <c r="F49" s="3"/>
    </row>
    <row r="50" spans="1:6" x14ac:dyDescent="0.25">
      <c r="A50" t="s">
        <v>19</v>
      </c>
      <c r="B50" s="16">
        <f>+B49+B40</f>
        <v>6849</v>
      </c>
      <c r="C50" s="16">
        <f>+C49+C40</f>
        <v>7729</v>
      </c>
      <c r="D50" s="16">
        <f>+D49+D40</f>
        <v>9129.4</v>
      </c>
      <c r="E50" s="16">
        <f>+E49+E40</f>
        <v>9483.9000000000015</v>
      </c>
      <c r="F50" s="2"/>
    </row>
    <row r="51" spans="1:6" x14ac:dyDescent="0.25">
      <c r="A51" s="1"/>
      <c r="B51" s="2"/>
      <c r="C51" s="2"/>
      <c r="D51" s="2"/>
      <c r="E51" s="2"/>
      <c r="F51" s="2"/>
    </row>
    <row r="54" spans="1:6" x14ac:dyDescent="0.25">
      <c r="B54" s="62"/>
      <c r="C54" s="62"/>
      <c r="D54" s="62"/>
      <c r="E54" s="72"/>
    </row>
    <row r="55" spans="1:6" x14ac:dyDescent="0.25">
      <c r="A55" s="1"/>
      <c r="B55" s="92">
        <v>2021</v>
      </c>
      <c r="C55" s="92">
        <v>2022</v>
      </c>
      <c r="D55" s="65" t="s">
        <v>2</v>
      </c>
      <c r="E55" s="67">
        <v>2024</v>
      </c>
    </row>
    <row r="56" spans="1:6" x14ac:dyDescent="0.25">
      <c r="A56" s="1"/>
      <c r="B56" s="36"/>
      <c r="C56" s="37"/>
      <c r="D56" s="37"/>
      <c r="E56" s="37"/>
    </row>
    <row r="57" spans="1:6" x14ac:dyDescent="0.25">
      <c r="A57" s="1" t="s">
        <v>180</v>
      </c>
      <c r="B57" s="36"/>
      <c r="C57" s="37"/>
      <c r="D57" s="37"/>
      <c r="E57" s="37"/>
    </row>
    <row r="58" spans="1:6" x14ac:dyDescent="0.25">
      <c r="A58" s="1" t="s">
        <v>182</v>
      </c>
    </row>
    <row r="59" spans="1:6" x14ac:dyDescent="0.25">
      <c r="A59" s="7" t="s">
        <v>6</v>
      </c>
      <c r="B59" s="33"/>
      <c r="C59" s="18">
        <f>C8-B8</f>
        <v>-189.80000000000007</v>
      </c>
      <c r="D59" s="18">
        <f t="shared" ref="D59:E59" si="0">D8-C8</f>
        <v>-680.5</v>
      </c>
      <c r="E59" s="18">
        <f t="shared" si="0"/>
        <v>79.5</v>
      </c>
    </row>
    <row r="60" spans="1:6" x14ac:dyDescent="0.25">
      <c r="A60" s="7" t="s">
        <v>7</v>
      </c>
      <c r="B60" s="33"/>
      <c r="C60" s="18">
        <f t="shared" ref="C60:E62" si="1">C9</f>
        <v>1162</v>
      </c>
      <c r="D60" s="18">
        <f t="shared" si="1"/>
        <v>1316.4</v>
      </c>
      <c r="E60" s="18">
        <f t="shared" si="1"/>
        <v>1254.7</v>
      </c>
    </row>
    <row r="61" spans="1:6" x14ac:dyDescent="0.25">
      <c r="A61" s="7" t="s">
        <v>50</v>
      </c>
      <c r="B61" s="33"/>
      <c r="C61" s="18">
        <f t="shared" si="1"/>
        <v>586.29999999999995</v>
      </c>
      <c r="D61" s="18">
        <f t="shared" si="1"/>
        <v>771.6</v>
      </c>
      <c r="E61" s="18">
        <f t="shared" si="1"/>
        <v>697.3</v>
      </c>
    </row>
    <row r="62" spans="1:6" x14ac:dyDescent="0.25">
      <c r="A62" s="7" t="s">
        <v>51</v>
      </c>
      <c r="B62" s="33"/>
      <c r="C62" s="18">
        <f t="shared" si="1"/>
        <v>1865.6</v>
      </c>
      <c r="D62" s="18">
        <f t="shared" si="1"/>
        <v>2131.6</v>
      </c>
      <c r="E62" s="18">
        <f t="shared" si="1"/>
        <v>2265.6999999999998</v>
      </c>
    </row>
    <row r="63" spans="1:6" x14ac:dyDescent="0.25">
      <c r="A63" s="7" t="s">
        <v>52</v>
      </c>
      <c r="B63" s="33"/>
      <c r="C63" s="18">
        <f>C12</f>
        <v>21.6</v>
      </c>
      <c r="D63" s="18">
        <f t="shared" ref="D63" si="2">D12</f>
        <v>42.2</v>
      </c>
      <c r="E63" s="18">
        <f>E12</f>
        <v>51.2</v>
      </c>
    </row>
    <row r="64" spans="1:6" x14ac:dyDescent="0.25">
      <c r="A64" s="7" t="s">
        <v>53</v>
      </c>
      <c r="B64" s="33"/>
      <c r="C64" s="18">
        <f>C13</f>
        <v>90.7</v>
      </c>
      <c r="D64" s="18">
        <f t="shared" ref="D64:E64" si="3">D13</f>
        <v>93.6</v>
      </c>
      <c r="E64" s="18">
        <f t="shared" si="3"/>
        <v>114.5</v>
      </c>
    </row>
    <row r="65" spans="1:9" x14ac:dyDescent="0.25">
      <c r="A65" t="s">
        <v>77</v>
      </c>
      <c r="B65" s="11"/>
      <c r="C65" s="93">
        <f>C14-B14</f>
        <v>249.79999999999927</v>
      </c>
      <c r="D65" s="93">
        <f>D14-C14</f>
        <v>-51.299999999999272</v>
      </c>
      <c r="E65" s="93">
        <f>E14-D14</f>
        <v>107.5</v>
      </c>
      <c r="F65" s="28"/>
      <c r="G65" s="28"/>
      <c r="H65" s="28"/>
    </row>
    <row r="66" spans="1:9" x14ac:dyDescent="0.25">
      <c r="A66" s="1"/>
    </row>
    <row r="67" spans="1:9" x14ac:dyDescent="0.25">
      <c r="A67" s="1" t="s">
        <v>183</v>
      </c>
    </row>
    <row r="68" spans="1:9" x14ac:dyDescent="0.25">
      <c r="A68" s="7" t="s">
        <v>11</v>
      </c>
      <c r="B68" s="11"/>
      <c r="C68" s="10">
        <f t="shared" ref="C68:C73" si="4">C28-B28</f>
        <v>381.6</v>
      </c>
      <c r="D68" s="10">
        <f t="shared" ref="D68:E68" si="5">D28-C28</f>
        <v>85.5</v>
      </c>
      <c r="E68" s="10">
        <f t="shared" si="5"/>
        <v>-71.099999999999909</v>
      </c>
      <c r="G68" s="11"/>
      <c r="H68" s="11"/>
      <c r="I68" s="11"/>
    </row>
    <row r="69" spans="1:9" x14ac:dyDescent="0.25">
      <c r="A69" s="7" t="s">
        <v>60</v>
      </c>
      <c r="B69" s="33"/>
      <c r="C69" s="18">
        <f t="shared" si="4"/>
        <v>9.6999999999999993</v>
      </c>
      <c r="D69" s="18">
        <f t="shared" ref="D69:E69" si="6">D29-C29</f>
        <v>165.3</v>
      </c>
      <c r="E69" s="18">
        <f t="shared" si="6"/>
        <v>187.3</v>
      </c>
    </row>
    <row r="70" spans="1:9" x14ac:dyDescent="0.25">
      <c r="A70" s="7" t="s">
        <v>61</v>
      </c>
      <c r="B70" s="33"/>
      <c r="C70" s="18">
        <f t="shared" si="4"/>
        <v>5.8000000000000682</v>
      </c>
      <c r="D70" s="18">
        <f t="shared" ref="D70:E70" si="7">D30-C30</f>
        <v>10.199999999999932</v>
      </c>
      <c r="E70" s="18">
        <f t="shared" si="7"/>
        <v>-58.100000000000023</v>
      </c>
    </row>
    <row r="71" spans="1:9" x14ac:dyDescent="0.25">
      <c r="A71" s="7" t="s">
        <v>62</v>
      </c>
      <c r="B71" s="33"/>
      <c r="C71" s="18">
        <f t="shared" si="4"/>
        <v>1.0999999999999943</v>
      </c>
      <c r="D71" s="18">
        <f t="shared" ref="D71:E71" si="8">D31-C31</f>
        <v>123</v>
      </c>
      <c r="E71" s="18">
        <f t="shared" si="8"/>
        <v>3.6999999999999886</v>
      </c>
    </row>
    <row r="72" spans="1:9" x14ac:dyDescent="0.25">
      <c r="A72" s="7" t="s">
        <v>63</v>
      </c>
      <c r="B72" s="33"/>
      <c r="C72" s="18">
        <f t="shared" si="4"/>
        <v>-121.10000000000001</v>
      </c>
      <c r="D72" s="18">
        <f t="shared" ref="D72:E72" si="9">D32-C32</f>
        <v>207.7</v>
      </c>
      <c r="E72" s="18">
        <f t="shared" si="9"/>
        <v>-167.9</v>
      </c>
    </row>
    <row r="73" spans="1:9" x14ac:dyDescent="0.25">
      <c r="A73" s="7" t="s">
        <v>64</v>
      </c>
      <c r="B73" s="33"/>
      <c r="C73" s="18">
        <f t="shared" si="4"/>
        <v>9.1999999999999886</v>
      </c>
      <c r="D73" s="18">
        <f t="shared" ref="D73:E73" si="10">D33-C33</f>
        <v>69.300000000000011</v>
      </c>
      <c r="E73" s="18">
        <f t="shared" si="10"/>
        <v>64.600000000000023</v>
      </c>
    </row>
    <row r="74" spans="1:9" x14ac:dyDescent="0.25">
      <c r="A74" t="s">
        <v>78</v>
      </c>
      <c r="B74" s="11"/>
      <c r="C74" s="93">
        <f>SUM(C68:C73)</f>
        <v>286.3</v>
      </c>
      <c r="D74" s="93">
        <f t="shared" ref="D74:E74" si="11">SUM(D68:D73)</f>
        <v>661</v>
      </c>
      <c r="E74" s="93">
        <f t="shared" si="11"/>
        <v>-41.499999999999915</v>
      </c>
      <c r="F74" s="11"/>
      <c r="G74" s="11"/>
    </row>
    <row r="75" spans="1:9" x14ac:dyDescent="0.25">
      <c r="B75" s="11"/>
      <c r="C75" s="11"/>
      <c r="D75" s="11"/>
      <c r="E75" s="11"/>
      <c r="F75" s="11"/>
      <c r="G75" s="11"/>
    </row>
    <row r="76" spans="1:9" x14ac:dyDescent="0.25">
      <c r="A76" s="1" t="s">
        <v>178</v>
      </c>
      <c r="B76" s="28"/>
      <c r="C76" s="30">
        <f>C77-B77</f>
        <v>270.59999999999923</v>
      </c>
      <c r="D76" s="30">
        <f t="shared" ref="D76:E76" si="12">D77-C77</f>
        <v>320.60000000000127</v>
      </c>
      <c r="E76" s="30">
        <f t="shared" si="12"/>
        <v>79.899999999998727</v>
      </c>
      <c r="F76" s="11"/>
    </row>
    <row r="77" spans="1:9" x14ac:dyDescent="0.25">
      <c r="A77" s="1" t="s">
        <v>177</v>
      </c>
      <c r="B77" s="33">
        <f>(B9+B10+B11+B13)-(B28+B31+B30+B33)</f>
        <v>1115.4000000000003</v>
      </c>
      <c r="C77" s="31">
        <f t="shared" ref="C77:E77" si="13">(C9+C10+C11+C13)-(C28+C31+C30+C33)</f>
        <v>1385.9999999999995</v>
      </c>
      <c r="D77" s="31">
        <f t="shared" si="13"/>
        <v>1706.6000000000008</v>
      </c>
      <c r="E77" s="31">
        <f t="shared" si="13"/>
        <v>1786.4999999999995</v>
      </c>
      <c r="F77" s="28"/>
    </row>
    <row r="78" spans="1:9" x14ac:dyDescent="0.25">
      <c r="A78" s="1" t="s">
        <v>179</v>
      </c>
      <c r="B78" s="36"/>
      <c r="C78" s="55">
        <f>C77/'Income Statement'!H6</f>
        <v>0.16735088142960633</v>
      </c>
      <c r="D78" s="55">
        <f>D77/'Income Statement'!J6</f>
        <v>0.17670508081466996</v>
      </c>
      <c r="E78" s="55">
        <f>E77/'Income Statement'!L6</f>
        <v>0.16610106457161447</v>
      </c>
    </row>
    <row r="79" spans="1:9" x14ac:dyDescent="0.25">
      <c r="A79" s="1"/>
    </row>
    <row r="80" spans="1:9" x14ac:dyDescent="0.25">
      <c r="A80" s="1" t="s">
        <v>33</v>
      </c>
    </row>
    <row r="81" spans="1:5" x14ac:dyDescent="0.25">
      <c r="A81" t="s">
        <v>197</v>
      </c>
      <c r="B81" s="11"/>
      <c r="C81" s="10">
        <f>C16-B16</f>
        <v>324.10000000000014</v>
      </c>
      <c r="D81" s="10">
        <f t="shared" ref="D81" si="14">D16-C16</f>
        <v>358.19999999999982</v>
      </c>
      <c r="E81" s="10">
        <f>E16-D16</f>
        <v>232</v>
      </c>
    </row>
    <row r="82" spans="1:5" x14ac:dyDescent="0.25">
      <c r="A82" t="s">
        <v>157</v>
      </c>
      <c r="B82" s="94"/>
      <c r="C82" s="61">
        <f>C81/'Income Statement'!H6</f>
        <v>3.9133059647428171E-2</v>
      </c>
      <c r="D82" s="61">
        <f>D81/'Income Statement'!J6</f>
        <v>3.7088808125990101E-2</v>
      </c>
      <c r="E82" s="61">
        <f>E81/'Income Statement'!L6</f>
        <v>2.1570359351029706E-2</v>
      </c>
    </row>
    <row r="83" spans="1:5" x14ac:dyDescent="0.25">
      <c r="B83" s="94"/>
      <c r="C83" s="99"/>
      <c r="D83" s="99"/>
      <c r="E83" s="99"/>
    </row>
    <row r="84" spans="1:5" x14ac:dyDescent="0.25">
      <c r="B84" s="62"/>
      <c r="C84" s="62"/>
      <c r="D84" s="62"/>
      <c r="E84" s="72"/>
    </row>
    <row r="85" spans="1:5" x14ac:dyDescent="0.25">
      <c r="B85" s="92">
        <v>2021</v>
      </c>
      <c r="C85" s="92">
        <v>2022</v>
      </c>
      <c r="D85" s="65" t="s">
        <v>2</v>
      </c>
      <c r="E85" s="67">
        <v>2024</v>
      </c>
    </row>
    <row r="86" spans="1:5" x14ac:dyDescent="0.25">
      <c r="A86" s="1" t="s">
        <v>207</v>
      </c>
    </row>
    <row r="87" spans="1:5" x14ac:dyDescent="0.25">
      <c r="A87" t="s">
        <v>222</v>
      </c>
      <c r="B87" s="103">
        <v>0.09</v>
      </c>
    </row>
    <row r="88" spans="1:5" x14ac:dyDescent="0.25">
      <c r="A88" t="s">
        <v>100</v>
      </c>
      <c r="C88" s="97">
        <f>'Income Statement'!H26</f>
        <v>178.09999999999962</v>
      </c>
      <c r="D88" s="97">
        <f>'Income Statement'!J26</f>
        <v>607.79999999999973</v>
      </c>
      <c r="E88" s="97">
        <f>'Income Statement'!L26</f>
        <v>692.99999999999955</v>
      </c>
    </row>
    <row r="89" spans="1:5" x14ac:dyDescent="0.25">
      <c r="A89" t="s">
        <v>208</v>
      </c>
      <c r="C89" s="97">
        <f>-'Income Statement'!H19*(1-'Income Statement'!H28)</f>
        <v>34.508490566037707</v>
      </c>
      <c r="D89" s="97">
        <f>-'Income Statement'!J19*(1-'Income Statement'!J28)</f>
        <v>52.262572073201298</v>
      </c>
      <c r="E89" s="97">
        <f>-'Income Statement'!L19*(1-'Income Statement'!L28)</f>
        <v>91.70930232558139</v>
      </c>
    </row>
    <row r="90" spans="1:5" x14ac:dyDescent="0.25">
      <c r="A90" t="s">
        <v>227</v>
      </c>
      <c r="C90" s="97">
        <f>$B$87*(B36+B49)</f>
        <v>362.09699999999998</v>
      </c>
      <c r="D90" s="97">
        <f>$B$87*(C36+C49)</f>
        <v>340.26299999999998</v>
      </c>
      <c r="E90" s="97">
        <f>$B$87*(D36+D49)</f>
        <v>387.27</v>
      </c>
    </row>
    <row r="91" spans="1:5" x14ac:dyDescent="0.25">
      <c r="A91" t="s">
        <v>209</v>
      </c>
      <c r="C91" s="97">
        <f>C88+C89-C90</f>
        <v>-149.48850943396263</v>
      </c>
      <c r="D91" s="97">
        <f t="shared" ref="D91:E91" si="15">D88+D89-D90</f>
        <v>319.79957207320109</v>
      </c>
      <c r="E91" s="97">
        <f t="shared" si="15"/>
        <v>397.43930232558091</v>
      </c>
    </row>
    <row r="92" spans="1:5" x14ac:dyDescent="0.25">
      <c r="C92" s="100"/>
      <c r="D92" s="100"/>
      <c r="E92" s="100"/>
    </row>
    <row r="93" spans="1:5" x14ac:dyDescent="0.25">
      <c r="A93" s="1" t="s">
        <v>210</v>
      </c>
    </row>
    <row r="94" spans="1:5" x14ac:dyDescent="0.25">
      <c r="A94" t="s">
        <v>228</v>
      </c>
      <c r="C94" s="55">
        <f>(C88+C89)/(((B49+B36)+(C49+C36))/2)</f>
        <v>5.4487055501290967E-2</v>
      </c>
      <c r="D94" s="55">
        <f t="shared" ref="D94:E94" si="16">(D88+D89)/(((C49+C36)+(D49+D36))/2)</f>
        <v>0.16330704308007499</v>
      </c>
      <c r="E94" s="55">
        <f t="shared" si="16"/>
        <v>0.17332831982099284</v>
      </c>
    </row>
    <row r="95" spans="1:5" x14ac:dyDescent="0.25">
      <c r="A95" t="s">
        <v>196</v>
      </c>
      <c r="C95" s="55">
        <f>'Income Statement'!H59</f>
        <v>2.4432905540274458E-2</v>
      </c>
      <c r="D95" s="55">
        <f>'Income Statement'!J59</f>
        <v>7.2107342420898987E-2</v>
      </c>
      <c r="E95" s="55">
        <f>'Income Statement'!L59</f>
        <v>7.4464084242196263E-2</v>
      </c>
    </row>
    <row r="96" spans="1:5" x14ac:dyDescent="0.25">
      <c r="A96" t="s">
        <v>195</v>
      </c>
      <c r="C96" s="55">
        <f>'Income Statement'!H58</f>
        <v>5.5743348982785483E-2</v>
      </c>
      <c r="D96" s="55">
        <f>'Income Statement'!J58</f>
        <v>0.17639888553517521</v>
      </c>
      <c r="E96" s="55">
        <f>'Income Statement'!L58</f>
        <v>0.17638973732437374</v>
      </c>
    </row>
    <row r="98" spans="1:6" x14ac:dyDescent="0.25">
      <c r="A98" s="1" t="s">
        <v>211</v>
      </c>
    </row>
    <row r="99" spans="1:6" x14ac:dyDescent="0.25">
      <c r="A99" t="s">
        <v>212</v>
      </c>
      <c r="B99" s="98">
        <f>B14/B34</f>
        <v>1.9989263875274237</v>
      </c>
      <c r="C99" s="98">
        <f>C14/C34</f>
        <v>1.8661368689780116</v>
      </c>
      <c r="D99" s="98">
        <f>D14/D34</f>
        <v>1.4502848265147592</v>
      </c>
      <c r="E99" s="98">
        <f>E14/E34</f>
        <v>1.5052983825989963</v>
      </c>
    </row>
    <row r="100" spans="1:6" x14ac:dyDescent="0.25">
      <c r="A100" t="s">
        <v>213</v>
      </c>
      <c r="B100" s="98">
        <f>(B14-B11)/B34</f>
        <v>1.2752182234047518</v>
      </c>
      <c r="C100" s="98">
        <f>(C14-C11)/C34</f>
        <v>1.0979576710862222</v>
      </c>
      <c r="D100" s="98">
        <f>(D14-D11)/D34</f>
        <v>0.76035732780942533</v>
      </c>
      <c r="E100" s="98">
        <f>(E14-E11)/E34</f>
        <v>0.76198287457760583</v>
      </c>
    </row>
    <row r="101" spans="1:6" x14ac:dyDescent="0.25">
      <c r="A101" t="s">
        <v>214</v>
      </c>
      <c r="C101" s="98">
        <f>'Income Statement'!H6/((B9+C9)/2)</f>
        <v>7.7568605413505667</v>
      </c>
      <c r="D101" s="98">
        <f>'Income Statement'!J6/((C9+D9)/2)</f>
        <v>7.7936571981923812</v>
      </c>
      <c r="E101" s="98">
        <f>'Income Statement'!L6/((D9+E9)/2)</f>
        <v>8.3664579362918587</v>
      </c>
    </row>
    <row r="102" spans="1:6" x14ac:dyDescent="0.25">
      <c r="A102" t="s">
        <v>215</v>
      </c>
      <c r="C102" s="98">
        <f>365/C101</f>
        <v>47.055119536343881</v>
      </c>
      <c r="D102" s="98">
        <f>365/D101</f>
        <v>46.832955404383981</v>
      </c>
      <c r="E102" s="98">
        <f>365/E101</f>
        <v>43.626586397657015</v>
      </c>
    </row>
    <row r="103" spans="1:6" x14ac:dyDescent="0.25">
      <c r="C103" s="96"/>
      <c r="D103" s="96"/>
      <c r="E103" s="96"/>
    </row>
    <row r="104" spans="1:6" x14ac:dyDescent="0.25">
      <c r="A104" s="1" t="s">
        <v>216</v>
      </c>
      <c r="C104" s="96"/>
      <c r="D104" s="96"/>
      <c r="E104" s="96"/>
    </row>
    <row r="105" spans="1:6" x14ac:dyDescent="0.25">
      <c r="A105" t="s">
        <v>217</v>
      </c>
      <c r="C105" s="97">
        <f>'Income Statement'!H7/((B11+C11)/2)</f>
        <v>4.2316159250585486</v>
      </c>
      <c r="D105" s="97">
        <f>'Income Statement'!J7/((C11+D11)/2)</f>
        <v>3.9912939057340138</v>
      </c>
      <c r="E105" s="97">
        <f>'Income Statement'!L7/((D11+E11)/2)</f>
        <v>3.9961339913128517</v>
      </c>
    </row>
    <row r="106" spans="1:6" x14ac:dyDescent="0.25">
      <c r="A106" t="s">
        <v>218</v>
      </c>
      <c r="C106" s="97">
        <f>365/C105</f>
        <v>86.255465161326015</v>
      </c>
      <c r="D106" s="97">
        <f>365/D105</f>
        <v>91.449040992854464</v>
      </c>
      <c r="E106" s="97">
        <f>365/E105</f>
        <v>91.338278644677374</v>
      </c>
    </row>
    <row r="107" spans="1:6" x14ac:dyDescent="0.25">
      <c r="A107" t="s">
        <v>219</v>
      </c>
      <c r="C107" s="97">
        <f>'Income Statement'!H6/((B24+C24)/2)</f>
        <v>1.1361781228778971</v>
      </c>
      <c r="D107" s="97">
        <f>'Income Statement'!J6/AVERAGE('Balance Sheet'!C14+'Balance Sheet'!D14)</f>
        <v>1.0715640914688946</v>
      </c>
      <c r="E107" s="97">
        <f>'Income Statement'!L6/AVERAGE('Balance Sheet'!D14+'Balance Sheet'!E14)</f>
        <v>1.1859500942761685</v>
      </c>
    </row>
    <row r="108" spans="1:6" x14ac:dyDescent="0.25">
      <c r="A108" t="s">
        <v>220</v>
      </c>
      <c r="C108" s="97">
        <f>'Income Statement'!H6/((B18+C18)/2)</f>
        <v>11.669719599830914</v>
      </c>
      <c r="D108" s="97">
        <f>'Income Statement'!J6/((C18+D18)/2)</f>
        <v>10.189270454185788</v>
      </c>
      <c r="E108" s="97">
        <f>'Income Statement'!L6/((D18+E18)/2)</f>
        <v>9.4098862642169721</v>
      </c>
    </row>
    <row r="109" spans="1:6" x14ac:dyDescent="0.25">
      <c r="C109" s="96"/>
      <c r="D109" s="96"/>
      <c r="E109" s="96"/>
    </row>
    <row r="110" spans="1:6" x14ac:dyDescent="0.25">
      <c r="A110" s="1" t="s">
        <v>113</v>
      </c>
      <c r="B110" s="2"/>
      <c r="C110" s="2"/>
      <c r="D110" s="2"/>
      <c r="E110" s="2"/>
      <c r="F110" s="2"/>
    </row>
    <row r="111" spans="1:6" x14ac:dyDescent="0.25">
      <c r="A111" t="s">
        <v>193</v>
      </c>
      <c r="B111" s="101">
        <f>(B36+B29)/B49</f>
        <v>0.25559404550135756</v>
      </c>
      <c r="C111" s="101">
        <f t="shared" ref="C111:E111" si="17">(C36+C29)/C49</f>
        <v>0.18981699469504351</v>
      </c>
      <c r="D111" s="101">
        <f t="shared" si="17"/>
        <v>0.20847389016327081</v>
      </c>
      <c r="E111" s="101">
        <f t="shared" si="17"/>
        <v>0.23164181980202786</v>
      </c>
      <c r="F111" s="2"/>
    </row>
    <row r="112" spans="1:6" x14ac:dyDescent="0.25">
      <c r="A112" t="s">
        <v>194</v>
      </c>
      <c r="B112" s="102">
        <f>(B36+B29)/'Income Statement'!F35</f>
        <v>1.1762171477811292</v>
      </c>
      <c r="C112" s="102">
        <f>(C36+C29)/'Income Statement'!H35</f>
        <v>1.2600541779537413</v>
      </c>
      <c r="D112" s="102">
        <f>(D36+D29)/'Income Statement'!J35</f>
        <v>0.77443609022556414</v>
      </c>
      <c r="E112" s="102">
        <f>(E36+E29)/'Income Statement'!L35</f>
        <v>0.76188212927756682</v>
      </c>
      <c r="F112" s="2" t="s">
        <v>90</v>
      </c>
    </row>
    <row r="113" spans="1:6" x14ac:dyDescent="0.25">
      <c r="A113" t="s">
        <v>114</v>
      </c>
      <c r="B113" s="102">
        <f>'Income Statement'!F35/(-'Income Statement'!F19)</f>
        <v>14.446058091286304</v>
      </c>
      <c r="C113" s="102">
        <f>'Income Statement'!H35/-'Income Statement'!H19</f>
        <v>8.9868913857677839</v>
      </c>
      <c r="D113" s="102">
        <f>'Income Statement'!J35/-'Income Statement'!J19</f>
        <v>14.540816326530608</v>
      </c>
      <c r="E113" s="102">
        <f>'Income Statement'!L35/-'Income Statement'!L19</f>
        <v>10.564016736401669</v>
      </c>
      <c r="F113" s="2" t="s">
        <v>90</v>
      </c>
    </row>
    <row r="114" spans="1:6" x14ac:dyDescent="0.25">
      <c r="A114" t="s">
        <v>221</v>
      </c>
      <c r="B114" s="102">
        <f>('Income Statement'!F35-'Income Statement'!F32-'Income Statement'!F33)/-'Income Statement'!F19</f>
        <v>12.284232365145224</v>
      </c>
      <c r="C114" s="102">
        <f>('Income Statement'!H35-'Income Statement'!H32-'Income Statement'!H33)/-'Income Statement'!H19</f>
        <v>7.1161048689138502</v>
      </c>
      <c r="D114" s="102">
        <f>('Income Statement'!J35-'Income Statement'!J32-'Income Statement'!J33)/-'Income Statement'!J19</f>
        <v>12.212827988338189</v>
      </c>
      <c r="E114" s="102">
        <f>('Income Statement'!L35-'Income Statement'!L32-'Income Statement'!L33)/-'Income Statement'!L19</f>
        <v>8.88953974895397</v>
      </c>
      <c r="F114" s="2" t="s">
        <v>90</v>
      </c>
    </row>
    <row r="115" spans="1:6" x14ac:dyDescent="0.25">
      <c r="A115" s="1"/>
      <c r="B115" s="1"/>
      <c r="C115" s="2"/>
      <c r="D115" s="2"/>
      <c r="E115" s="2"/>
      <c r="F115" s="2"/>
    </row>
  </sheetData>
  <pageMargins left="0.7" right="0.7" top="0.75" bottom="0.75" header="0.3" footer="0.3"/>
  <pageSetup orientation="portrait" horizontalDpi="360" verticalDpi="36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CDDE-C357-40D7-89BC-46C505DA059B}">
  <dimension ref="A1:P1037"/>
  <sheetViews>
    <sheetView topLeftCell="A37" workbookViewId="0">
      <selection activeCell="J40" sqref="J40"/>
    </sheetView>
  </sheetViews>
  <sheetFormatPr defaultRowHeight="15" x14ac:dyDescent="0.25"/>
  <cols>
    <col min="1" max="1" width="10.42578125" bestFit="1" customWidth="1"/>
    <col min="2" max="2" width="18" bestFit="1" customWidth="1"/>
    <col min="3" max="3" width="10.28515625" bestFit="1" customWidth="1"/>
    <col min="4" max="5" width="12.5703125" customWidth="1"/>
    <col min="6" max="6" width="14.85546875" bestFit="1" customWidth="1"/>
    <col min="7" max="10" width="12.5703125" customWidth="1"/>
    <col min="12" max="12" width="14.85546875" bestFit="1" customWidth="1"/>
    <col min="13" max="13" width="10.5703125" bestFit="1" customWidth="1"/>
    <col min="14" max="14" width="10" bestFit="1" customWidth="1"/>
    <col min="15" max="15" width="13.85546875" bestFit="1" customWidth="1"/>
    <col min="16" max="16" width="11.7109375" bestFit="1" customWidth="1"/>
  </cols>
  <sheetData>
    <row r="1" spans="1:16" ht="34.15" customHeight="1" x14ac:dyDescent="0.4">
      <c r="A1" s="77" t="s">
        <v>101</v>
      </c>
    </row>
    <row r="2" spans="1:16" x14ac:dyDescent="0.25">
      <c r="A2" s="1"/>
      <c r="F2" t="s">
        <v>103</v>
      </c>
      <c r="H2" t="s">
        <v>191</v>
      </c>
      <c r="I2" t="s">
        <v>106</v>
      </c>
      <c r="L2" t="s">
        <v>108</v>
      </c>
      <c r="M2" t="s">
        <v>109</v>
      </c>
      <c r="N2" t="s">
        <v>203</v>
      </c>
      <c r="O2" t="s">
        <v>204</v>
      </c>
      <c r="P2" t="s">
        <v>206</v>
      </c>
    </row>
    <row r="3" spans="1:16" x14ac:dyDescent="0.25">
      <c r="A3" s="1"/>
      <c r="F3" t="s">
        <v>104</v>
      </c>
      <c r="H3" t="s">
        <v>105</v>
      </c>
      <c r="I3" t="s">
        <v>107</v>
      </c>
      <c r="J3" t="s">
        <v>89</v>
      </c>
      <c r="L3" t="s">
        <v>85</v>
      </c>
      <c r="M3" t="s">
        <v>110</v>
      </c>
      <c r="N3" t="s">
        <v>85</v>
      </c>
      <c r="O3" t="s">
        <v>205</v>
      </c>
      <c r="P3" t="s">
        <v>203</v>
      </c>
    </row>
    <row r="4" spans="1:16" x14ac:dyDescent="0.25">
      <c r="B4" t="s">
        <v>31</v>
      </c>
      <c r="D4" t="s">
        <v>32</v>
      </c>
      <c r="F4" t="s">
        <v>102</v>
      </c>
      <c r="H4" t="s">
        <v>102</v>
      </c>
      <c r="I4" t="s">
        <v>102</v>
      </c>
      <c r="J4" t="s">
        <v>102</v>
      </c>
      <c r="L4" t="s">
        <v>102</v>
      </c>
      <c r="M4" s="95" t="s">
        <v>90</v>
      </c>
      <c r="N4" t="s">
        <v>102</v>
      </c>
      <c r="O4" t="s">
        <v>102</v>
      </c>
      <c r="P4" s="95" t="s">
        <v>90</v>
      </c>
    </row>
    <row r="5" spans="1:16" x14ac:dyDescent="0.25">
      <c r="A5" t="s">
        <v>95</v>
      </c>
      <c r="B5" s="78">
        <v>110.54</v>
      </c>
      <c r="C5" s="5">
        <v>45831</v>
      </c>
      <c r="D5" s="26">
        <v>65863963</v>
      </c>
      <c r="F5" s="39">
        <f>B5*D5/1000000</f>
        <v>7280.6024700200005</v>
      </c>
      <c r="H5" s="49">
        <f>'Balance Sheet'!E29+'Balance Sheet'!E36</f>
        <v>961.8</v>
      </c>
      <c r="I5" s="49">
        <f>'Balance Sheet'!E8</f>
        <v>204.9</v>
      </c>
      <c r="J5" s="43">
        <f>H5-I5</f>
        <v>756.9</v>
      </c>
      <c r="L5" s="43">
        <f>J5+F5</f>
        <v>8037.5024700200001</v>
      </c>
      <c r="M5" s="44"/>
      <c r="N5" s="35">
        <f>+N6</f>
        <v>0</v>
      </c>
      <c r="O5" s="6">
        <f>+F5-N5</f>
        <v>7280.6024700200005</v>
      </c>
      <c r="P5" s="97"/>
    </row>
    <row r="6" spans="1:16" x14ac:dyDescent="0.25">
      <c r="A6" s="5">
        <v>45657</v>
      </c>
      <c r="B6" s="78">
        <v>94.62</v>
      </c>
      <c r="D6" s="26">
        <v>65863963</v>
      </c>
      <c r="F6" s="39"/>
      <c r="H6" s="40"/>
      <c r="I6" s="31"/>
      <c r="J6" s="43"/>
      <c r="L6" s="43">
        <f>J6+F6</f>
        <v>0</v>
      </c>
      <c r="M6" s="44"/>
      <c r="N6" s="9"/>
      <c r="O6" s="18"/>
      <c r="P6" s="97"/>
    </row>
    <row r="7" spans="1:16" x14ac:dyDescent="0.25">
      <c r="A7" s="5">
        <v>45289</v>
      </c>
      <c r="B7" s="78">
        <v>106.11</v>
      </c>
      <c r="D7" s="26">
        <f>75101465-9627658</f>
        <v>65473807</v>
      </c>
      <c r="F7" s="39"/>
      <c r="G7" s="8"/>
      <c r="H7" s="41"/>
      <c r="I7" s="42"/>
      <c r="J7" s="43"/>
      <c r="L7" s="43">
        <f t="shared" ref="L7" si="0">J7+F7</f>
        <v>0</v>
      </c>
      <c r="M7" s="44"/>
      <c r="N7" s="9"/>
      <c r="O7" s="18"/>
      <c r="P7" s="97"/>
    </row>
    <row r="8" spans="1:16" x14ac:dyDescent="0.25">
      <c r="A8" s="5">
        <v>44925</v>
      </c>
      <c r="B8" s="78">
        <v>84.73</v>
      </c>
      <c r="D8" s="26">
        <f>75101465-9629317</f>
        <v>65472148</v>
      </c>
      <c r="F8" s="39"/>
      <c r="G8" s="8"/>
      <c r="H8" s="41"/>
      <c r="I8" s="31"/>
      <c r="J8" s="43"/>
      <c r="L8" s="43">
        <f>J8+F8</f>
        <v>0</v>
      </c>
      <c r="M8" s="44"/>
      <c r="N8" s="9"/>
      <c r="O8" s="18"/>
      <c r="P8" s="97"/>
    </row>
    <row r="9" spans="1:16" x14ac:dyDescent="0.25">
      <c r="A9" s="5"/>
      <c r="B9" s="8"/>
      <c r="D9" s="6"/>
      <c r="G9" s="8"/>
    </row>
    <row r="12" spans="1:16" x14ac:dyDescent="0.25">
      <c r="L12" s="105"/>
    </row>
    <row r="13" spans="1:16" ht="27.75" customHeight="1" x14ac:dyDescent="0.4">
      <c r="A13" s="77" t="s">
        <v>226</v>
      </c>
      <c r="E13" s="106"/>
    </row>
    <row r="14" spans="1:16" x14ac:dyDescent="0.25">
      <c r="A14" s="1"/>
    </row>
    <row r="15" spans="1:16" x14ac:dyDescent="0.25">
      <c r="A15" t="s">
        <v>111</v>
      </c>
    </row>
    <row r="16" spans="1:16" x14ac:dyDescent="0.25">
      <c r="A16" s="45" t="s">
        <v>82</v>
      </c>
      <c r="B16" s="46"/>
      <c r="C16" s="89">
        <f ca="1">K40</f>
        <v>7.4661256089031236E-2</v>
      </c>
    </row>
    <row r="17" spans="1:12" x14ac:dyDescent="0.25">
      <c r="A17" s="47" t="s">
        <v>83</v>
      </c>
      <c r="B17" s="48"/>
      <c r="C17" s="90">
        <f ca="1">K38</f>
        <v>1.784166523713715E-2</v>
      </c>
      <c r="K17" t="s">
        <v>84</v>
      </c>
    </row>
    <row r="18" spans="1:12" x14ac:dyDescent="0.25">
      <c r="E18" s="45"/>
      <c r="F18" s="46">
        <v>1</v>
      </c>
      <c r="G18" s="46">
        <f>1+F18</f>
        <v>2</v>
      </c>
      <c r="H18" s="46">
        <f t="shared" ref="H18:J18" si="1">1+G18</f>
        <v>3</v>
      </c>
      <c r="I18" s="46">
        <f t="shared" si="1"/>
        <v>4</v>
      </c>
      <c r="J18" s="56">
        <f t="shared" si="1"/>
        <v>5</v>
      </c>
      <c r="K18" t="s">
        <v>85</v>
      </c>
    </row>
    <row r="19" spans="1:12" x14ac:dyDescent="0.25">
      <c r="D19" t="s">
        <v>75</v>
      </c>
      <c r="E19" s="47">
        <v>2024</v>
      </c>
      <c r="F19" s="48">
        <v>2025</v>
      </c>
      <c r="G19" s="48">
        <v>2026</v>
      </c>
      <c r="H19" s="48">
        <v>2027</v>
      </c>
      <c r="I19" s="48">
        <v>2028</v>
      </c>
      <c r="J19" s="57">
        <v>2029</v>
      </c>
    </row>
    <row r="20" spans="1:12" x14ac:dyDescent="0.25">
      <c r="A20" t="s">
        <v>74</v>
      </c>
      <c r="D20" s="73">
        <f ca="1">K39</f>
        <v>3.9803630524700415E-2</v>
      </c>
      <c r="E20" s="18">
        <f>'Income Statement'!L31</f>
        <v>1010.6999999999996</v>
      </c>
      <c r="F20" s="18">
        <f ca="1">E20*(1+$D$20)</f>
        <v>1050.9295293713144</v>
      </c>
      <c r="G20" s="18">
        <f t="shared" ref="G20:J20" ca="1" si="2">F20*(1+$D$20)</f>
        <v>1092.7603400659075</v>
      </c>
      <c r="H20" s="18">
        <f t="shared" ca="1" si="2"/>
        <v>1136.256168893937</v>
      </c>
      <c r="I20" s="18">
        <f t="shared" ca="1" si="2"/>
        <v>1181.483289622003</v>
      </c>
      <c r="J20" s="18">
        <f t="shared" ca="1" si="2"/>
        <v>1228.5106139532249</v>
      </c>
    </row>
    <row r="21" spans="1:12" x14ac:dyDescent="0.25">
      <c r="A21" t="s">
        <v>80</v>
      </c>
      <c r="B21" s="29">
        <f>+'Income Statement'!L28</f>
        <v>0.23255813953488383</v>
      </c>
      <c r="D21" s="74"/>
      <c r="E21" s="26"/>
      <c r="F21" s="18">
        <f ca="1">F20*$B$21</f>
        <v>244.40221613286394</v>
      </c>
      <c r="G21" s="18">
        <f t="shared" ref="G21:J21" ca="1" si="3">G20*$B$21</f>
        <v>254.13031164323442</v>
      </c>
      <c r="H21" s="18">
        <f t="shared" ca="1" si="3"/>
        <v>264.24562067300872</v>
      </c>
      <c r="I21" s="18">
        <f t="shared" ca="1" si="3"/>
        <v>274.76355572604734</v>
      </c>
      <c r="J21" s="18">
        <f t="shared" ca="1" si="3"/>
        <v>285.70014277981988</v>
      </c>
    </row>
    <row r="22" spans="1:12" x14ac:dyDescent="0.25">
      <c r="B22" s="29"/>
      <c r="D22" s="74"/>
      <c r="E22" s="26"/>
      <c r="F22" s="26"/>
      <c r="G22" s="26"/>
      <c r="H22" s="26"/>
      <c r="I22" s="26"/>
      <c r="J22" s="26"/>
    </row>
    <row r="23" spans="1:12" x14ac:dyDescent="0.25">
      <c r="A23" t="s">
        <v>198</v>
      </c>
      <c r="D23" s="74"/>
      <c r="E23" s="26"/>
      <c r="F23" s="18">
        <f ca="1">F20-F21</f>
        <v>806.52731323845046</v>
      </c>
      <c r="G23" s="18">
        <f t="shared" ref="G23:J23" ca="1" si="4">G20-G21</f>
        <v>838.63002842267304</v>
      </c>
      <c r="H23" s="18">
        <f t="shared" ca="1" si="4"/>
        <v>872.01054822092829</v>
      </c>
      <c r="I23" s="18">
        <f t="shared" ca="1" si="4"/>
        <v>906.71973389595564</v>
      </c>
      <c r="J23" s="18">
        <f t="shared" ca="1" si="4"/>
        <v>942.81047117340506</v>
      </c>
    </row>
    <row r="24" spans="1:12" x14ac:dyDescent="0.25">
      <c r="A24" t="s">
        <v>76</v>
      </c>
      <c r="D24" s="74">
        <v>0.05</v>
      </c>
      <c r="E24" s="18">
        <f>'Balance Sheet'!E76</f>
        <v>79.899999999998727</v>
      </c>
      <c r="F24" s="18">
        <f>E24*(1+$D$24)</f>
        <v>83.89499999999866</v>
      </c>
      <c r="G24" s="18">
        <f t="shared" ref="G24:J24" si="5">F24*(1+$D$24)</f>
        <v>88.089749999998602</v>
      </c>
      <c r="H24" s="18">
        <f t="shared" si="5"/>
        <v>92.494237499998533</v>
      </c>
      <c r="I24" s="18">
        <f t="shared" si="5"/>
        <v>97.118949374998465</v>
      </c>
      <c r="J24" s="18">
        <f t="shared" si="5"/>
        <v>101.9748968437484</v>
      </c>
    </row>
    <row r="25" spans="1:12" x14ac:dyDescent="0.25">
      <c r="A25" t="s">
        <v>117</v>
      </c>
      <c r="D25" s="74">
        <v>0.04</v>
      </c>
      <c r="E25" s="18">
        <f>'Income Statement'!L32+'Income Statement'!L33</f>
        <v>200.09999999999997</v>
      </c>
      <c r="F25" s="18">
        <f>E25*(1+$D$25)</f>
        <v>208.10399999999998</v>
      </c>
      <c r="G25" s="18">
        <f t="shared" ref="G25:J25" si="6">F25*(1+$D$25)</f>
        <v>216.42815999999999</v>
      </c>
      <c r="H25" s="18">
        <f t="shared" si="6"/>
        <v>225.0852864</v>
      </c>
      <c r="I25" s="18">
        <f t="shared" si="6"/>
        <v>234.08869785600001</v>
      </c>
      <c r="J25" s="18">
        <f t="shared" si="6"/>
        <v>243.45224577024001</v>
      </c>
    </row>
    <row r="26" spans="1:12" x14ac:dyDescent="0.25">
      <c r="A26" t="s">
        <v>79</v>
      </c>
      <c r="D26" s="75">
        <v>0.04</v>
      </c>
      <c r="E26" s="18">
        <f>'Balance Sheet'!E81</f>
        <v>232</v>
      </c>
      <c r="F26" s="18">
        <f>E26*(1+$D$26)</f>
        <v>241.28</v>
      </c>
      <c r="G26" s="18">
        <f t="shared" ref="G26:J26" si="7">F26*(1+$D$26)</f>
        <v>250.93120000000002</v>
      </c>
      <c r="H26" s="18">
        <f t="shared" si="7"/>
        <v>260.96844800000002</v>
      </c>
      <c r="I26" s="18">
        <f t="shared" si="7"/>
        <v>271.40718592000002</v>
      </c>
      <c r="J26" s="18">
        <f t="shared" si="7"/>
        <v>282.26347335680003</v>
      </c>
    </row>
    <row r="28" spans="1:12" x14ac:dyDescent="0.25">
      <c r="A28" t="s">
        <v>176</v>
      </c>
      <c r="F28" s="30">
        <f ca="1">F23-F24+F25-F26</f>
        <v>689.45631323845191</v>
      </c>
      <c r="G28" s="30">
        <f t="shared" ref="G28:J28" ca="1" si="8">G23-G24+G25-G26</f>
        <v>716.03723842267436</v>
      </c>
      <c r="H28" s="30">
        <f t="shared" ca="1" si="8"/>
        <v>743.6331491209296</v>
      </c>
      <c r="I28" s="30">
        <f t="shared" ca="1" si="8"/>
        <v>772.28229645695706</v>
      </c>
      <c r="J28" s="30">
        <f t="shared" ca="1" si="8"/>
        <v>802.02434674309666</v>
      </c>
      <c r="K28" s="30">
        <f ca="1">J28*(1+C17)/(C16-C17)</f>
        <v>14367.118530958378</v>
      </c>
    </row>
    <row r="29" spans="1:12" x14ac:dyDescent="0.25">
      <c r="A29" t="s">
        <v>159</v>
      </c>
      <c r="F29" s="26"/>
      <c r="G29" s="26"/>
      <c r="H29" s="26"/>
      <c r="I29" s="26"/>
      <c r="J29" s="26"/>
      <c r="K29" s="58"/>
      <c r="L29" t="s">
        <v>90</v>
      </c>
    </row>
    <row r="31" spans="1:12" x14ac:dyDescent="0.25">
      <c r="A31" t="s">
        <v>81</v>
      </c>
      <c r="F31" s="18">
        <f ca="1">F28/(1+$C$16)^F18</f>
        <v>641.55687136945915</v>
      </c>
      <c r="G31" s="18">
        <f t="shared" ref="G31:J31" ca="1" si="9">G28/(1+$C$16)^G18</f>
        <v>620.00105023459116</v>
      </c>
      <c r="H31" s="18">
        <f t="shared" ca="1" si="9"/>
        <v>599.16159129292828</v>
      </c>
      <c r="I31" s="18">
        <f t="shared" ca="1" si="9"/>
        <v>579.01486275535603</v>
      </c>
      <c r="J31" s="18">
        <f t="shared" ca="1" si="9"/>
        <v>559.53800849177935</v>
      </c>
    </row>
    <row r="32" spans="1:12" x14ac:dyDescent="0.25">
      <c r="A32" t="s">
        <v>86</v>
      </c>
      <c r="F32" s="6"/>
      <c r="G32" s="6"/>
      <c r="H32" s="6"/>
      <c r="I32" s="6"/>
      <c r="J32" s="18">
        <f ca="1">K28/(1+C16)^J18</f>
        <v>10023.322762236312</v>
      </c>
      <c r="K32">
        <f ca="1">J32/D35</f>
        <v>0.76968704390862142</v>
      </c>
    </row>
    <row r="33" spans="1:14" x14ac:dyDescent="0.25">
      <c r="F33" s="6"/>
      <c r="G33" s="6"/>
      <c r="H33" s="6"/>
      <c r="I33" s="6"/>
      <c r="J33" s="26"/>
    </row>
    <row r="35" spans="1:14" x14ac:dyDescent="0.25">
      <c r="A35" t="s">
        <v>87</v>
      </c>
      <c r="D35" s="39">
        <f ca="1">SUM(F31:J31)+J32</f>
        <v>13022.595146380427</v>
      </c>
    </row>
    <row r="36" spans="1:14" x14ac:dyDescent="0.25">
      <c r="A36" t="s">
        <v>192</v>
      </c>
      <c r="D36" s="9">
        <f>J5</f>
        <v>756.9</v>
      </c>
    </row>
    <row r="37" spans="1:14" x14ac:dyDescent="0.25">
      <c r="A37" t="s">
        <v>88</v>
      </c>
      <c r="D37" s="18">
        <f ca="1">D35-D36</f>
        <v>12265.695146380427</v>
      </c>
      <c r="I37" t="s">
        <v>244</v>
      </c>
      <c r="J37" t="s">
        <v>245</v>
      </c>
      <c r="K37" t="s">
        <v>246</v>
      </c>
      <c r="M37" t="s">
        <v>246</v>
      </c>
      <c r="N37" s="43">
        <f ca="1">D35</f>
        <v>13022.595146380427</v>
      </c>
    </row>
    <row r="38" spans="1:14" x14ac:dyDescent="0.25">
      <c r="A38" t="s">
        <v>158</v>
      </c>
      <c r="D38" s="38">
        <f ca="1">D37/(D5/1000000)</f>
        <v>186.22771220705968</v>
      </c>
      <c r="G38" t="s">
        <v>242</v>
      </c>
      <c r="I38" s="109">
        <v>2.5000000000000001E-2</v>
      </c>
      <c r="J38" s="110">
        <v>0.01</v>
      </c>
      <c r="K38" s="111">
        <f ca="1">_xlfn.NORM.INV(RAND(),I38,J38)</f>
        <v>1.784166523713715E-2</v>
      </c>
      <c r="M38">
        <v>1</v>
      </c>
      <c r="N38">
        <f t="dataTable" ref="N38:N1037" dt2D="0" dtr="0" r1="O37" ca="1"/>
        <v>13789.155871631878</v>
      </c>
    </row>
    <row r="39" spans="1:14" x14ac:dyDescent="0.25">
      <c r="A39" t="s">
        <v>199</v>
      </c>
      <c r="D39" s="59"/>
      <c r="G39" t="s">
        <v>74</v>
      </c>
      <c r="I39" s="110">
        <v>0.05</v>
      </c>
      <c r="J39" s="110">
        <v>0.01</v>
      </c>
      <c r="K39" s="111">
        <f ca="1">_xlfn.NORM.INV(RAND(),I39,J39)</f>
        <v>3.9803630524700415E-2</v>
      </c>
      <c r="M39">
        <v>2</v>
      </c>
      <c r="N39">
        <v>13995.182837233613</v>
      </c>
    </row>
    <row r="40" spans="1:14" x14ac:dyDescent="0.25">
      <c r="G40" t="s">
        <v>243</v>
      </c>
      <c r="I40" s="109">
        <v>0.08</v>
      </c>
      <c r="J40" s="110">
        <v>0.01</v>
      </c>
      <c r="K40" s="111">
        <f ca="1">_xlfn.NORM.INV(RAND(),I40,J40)</f>
        <v>7.4661256089031236E-2</v>
      </c>
      <c r="M40">
        <v>3</v>
      </c>
      <c r="N40">
        <v>11367.133785015765</v>
      </c>
    </row>
    <row r="41" spans="1:14" x14ac:dyDescent="0.25">
      <c r="A41" t="s">
        <v>247</v>
      </c>
      <c r="D41" s="105">
        <f ca="1">AVERAGE(N37:N1037)</f>
        <v>15042.674901299612</v>
      </c>
      <c r="M41">
        <v>4</v>
      </c>
      <c r="N41">
        <v>13521.120475250103</v>
      </c>
    </row>
    <row r="42" spans="1:14" x14ac:dyDescent="0.25">
      <c r="M42">
        <v>5</v>
      </c>
      <c r="N42">
        <v>14971.543406544313</v>
      </c>
    </row>
    <row r="43" spans="1:14" x14ac:dyDescent="0.25">
      <c r="M43">
        <v>6</v>
      </c>
      <c r="N43">
        <v>13729.119939688264</v>
      </c>
    </row>
    <row r="44" spans="1:14" x14ac:dyDescent="0.25">
      <c r="M44">
        <v>7</v>
      </c>
      <c r="N44">
        <v>10911.765882212185</v>
      </c>
    </row>
    <row r="45" spans="1:14" x14ac:dyDescent="0.25">
      <c r="M45">
        <v>8</v>
      </c>
      <c r="N45">
        <v>11988.900958447073</v>
      </c>
    </row>
    <row r="46" spans="1:14" x14ac:dyDescent="0.25">
      <c r="M46">
        <v>9</v>
      </c>
      <c r="N46">
        <v>20605.694920748145</v>
      </c>
    </row>
    <row r="47" spans="1:14" x14ac:dyDescent="0.25">
      <c r="M47">
        <v>10</v>
      </c>
      <c r="N47">
        <v>23325.23960798874</v>
      </c>
    </row>
    <row r="48" spans="1:14" x14ac:dyDescent="0.25">
      <c r="M48">
        <v>11</v>
      </c>
      <c r="N48">
        <v>15938.345279587091</v>
      </c>
    </row>
    <row r="49" spans="13:14" x14ac:dyDescent="0.25">
      <c r="M49">
        <v>12</v>
      </c>
      <c r="N49">
        <v>9823.6596812934295</v>
      </c>
    </row>
    <row r="50" spans="13:14" x14ac:dyDescent="0.25">
      <c r="M50">
        <v>13</v>
      </c>
      <c r="N50">
        <v>28581.150788144023</v>
      </c>
    </row>
    <row r="51" spans="13:14" x14ac:dyDescent="0.25">
      <c r="M51">
        <v>14</v>
      </c>
      <c r="N51">
        <v>13843.29607540237</v>
      </c>
    </row>
    <row r="52" spans="13:14" x14ac:dyDescent="0.25">
      <c r="M52">
        <v>15</v>
      </c>
      <c r="N52">
        <v>11521.929257254002</v>
      </c>
    </row>
    <row r="53" spans="13:14" x14ac:dyDescent="0.25">
      <c r="M53">
        <v>16</v>
      </c>
      <c r="N53">
        <v>14400.91625749599</v>
      </c>
    </row>
    <row r="54" spans="13:14" x14ac:dyDescent="0.25">
      <c r="M54">
        <v>17</v>
      </c>
      <c r="N54">
        <v>12467.66326605569</v>
      </c>
    </row>
    <row r="55" spans="13:14" x14ac:dyDescent="0.25">
      <c r="M55">
        <v>18</v>
      </c>
      <c r="N55">
        <v>15522.557096102233</v>
      </c>
    </row>
    <row r="56" spans="13:14" x14ac:dyDescent="0.25">
      <c r="M56">
        <v>19</v>
      </c>
      <c r="N56">
        <v>11378.122150594612</v>
      </c>
    </row>
    <row r="57" spans="13:14" x14ac:dyDescent="0.25">
      <c r="M57">
        <v>20</v>
      </c>
      <c r="N57">
        <v>10102.581785667719</v>
      </c>
    </row>
    <row r="58" spans="13:14" x14ac:dyDescent="0.25">
      <c r="M58">
        <v>21</v>
      </c>
      <c r="N58">
        <v>14295.607843731295</v>
      </c>
    </row>
    <row r="59" spans="13:14" x14ac:dyDescent="0.25">
      <c r="M59">
        <v>22</v>
      </c>
      <c r="N59">
        <v>9889.6502130329827</v>
      </c>
    </row>
    <row r="60" spans="13:14" x14ac:dyDescent="0.25">
      <c r="M60">
        <v>23</v>
      </c>
      <c r="N60">
        <v>14443.18989214513</v>
      </c>
    </row>
    <row r="61" spans="13:14" x14ac:dyDescent="0.25">
      <c r="M61">
        <v>24</v>
      </c>
      <c r="N61">
        <v>13963.342968212957</v>
      </c>
    </row>
    <row r="62" spans="13:14" x14ac:dyDescent="0.25">
      <c r="M62">
        <v>25</v>
      </c>
      <c r="N62">
        <v>15347.193612414154</v>
      </c>
    </row>
    <row r="63" spans="13:14" x14ac:dyDescent="0.25">
      <c r="M63">
        <v>26</v>
      </c>
      <c r="N63">
        <v>15724.171644466562</v>
      </c>
    </row>
    <row r="64" spans="13:14" x14ac:dyDescent="0.25">
      <c r="M64">
        <v>27</v>
      </c>
      <c r="N64">
        <v>10094.117876383019</v>
      </c>
    </row>
    <row r="65" spans="13:14" x14ac:dyDescent="0.25">
      <c r="M65">
        <v>28</v>
      </c>
      <c r="N65">
        <v>14975.66002973068</v>
      </c>
    </row>
    <row r="66" spans="13:14" x14ac:dyDescent="0.25">
      <c r="M66">
        <v>29</v>
      </c>
      <c r="N66">
        <v>12911.97428055511</v>
      </c>
    </row>
    <row r="67" spans="13:14" x14ac:dyDescent="0.25">
      <c r="M67">
        <v>30</v>
      </c>
      <c r="N67">
        <v>14597.299510648631</v>
      </c>
    </row>
    <row r="68" spans="13:14" x14ac:dyDescent="0.25">
      <c r="M68">
        <v>31</v>
      </c>
      <c r="N68">
        <v>23979.800777166871</v>
      </c>
    </row>
    <row r="69" spans="13:14" x14ac:dyDescent="0.25">
      <c r="M69">
        <v>32</v>
      </c>
      <c r="N69">
        <v>13358.960344950505</v>
      </c>
    </row>
    <row r="70" spans="13:14" x14ac:dyDescent="0.25">
      <c r="M70">
        <v>33</v>
      </c>
      <c r="N70">
        <v>13394.164328583118</v>
      </c>
    </row>
    <row r="71" spans="13:14" x14ac:dyDescent="0.25">
      <c r="M71">
        <v>34</v>
      </c>
      <c r="N71">
        <v>12092.527866781649</v>
      </c>
    </row>
    <row r="72" spans="13:14" x14ac:dyDescent="0.25">
      <c r="M72">
        <v>35</v>
      </c>
      <c r="N72">
        <v>10674.440570201055</v>
      </c>
    </row>
    <row r="73" spans="13:14" x14ac:dyDescent="0.25">
      <c r="M73">
        <v>36</v>
      </c>
      <c r="N73">
        <v>15197.30048880948</v>
      </c>
    </row>
    <row r="74" spans="13:14" x14ac:dyDescent="0.25">
      <c r="M74">
        <v>37</v>
      </c>
      <c r="N74">
        <v>13212.278597447614</v>
      </c>
    </row>
    <row r="75" spans="13:14" x14ac:dyDescent="0.25">
      <c r="M75">
        <v>38</v>
      </c>
      <c r="N75">
        <v>9878.49659510526</v>
      </c>
    </row>
    <row r="76" spans="13:14" x14ac:dyDescent="0.25">
      <c r="M76">
        <v>39</v>
      </c>
      <c r="N76">
        <v>25107.190771575566</v>
      </c>
    </row>
    <row r="77" spans="13:14" x14ac:dyDescent="0.25">
      <c r="M77">
        <v>40</v>
      </c>
      <c r="N77">
        <v>10624.824696505251</v>
      </c>
    </row>
    <row r="78" spans="13:14" x14ac:dyDescent="0.25">
      <c r="M78">
        <v>41</v>
      </c>
      <c r="N78">
        <v>11420.695389050965</v>
      </c>
    </row>
    <row r="79" spans="13:14" x14ac:dyDescent="0.25">
      <c r="M79">
        <v>42</v>
      </c>
      <c r="N79">
        <v>10373.272637387579</v>
      </c>
    </row>
    <row r="80" spans="13:14" x14ac:dyDescent="0.25">
      <c r="M80">
        <v>43</v>
      </c>
      <c r="N80">
        <v>12349.573203961598</v>
      </c>
    </row>
    <row r="81" spans="13:14" x14ac:dyDescent="0.25">
      <c r="M81">
        <v>44</v>
      </c>
      <c r="N81">
        <v>12052.298155804105</v>
      </c>
    </row>
    <row r="82" spans="13:14" x14ac:dyDescent="0.25">
      <c r="M82">
        <v>45</v>
      </c>
      <c r="N82">
        <v>14121.415256246559</v>
      </c>
    </row>
    <row r="83" spans="13:14" x14ac:dyDescent="0.25">
      <c r="M83">
        <v>46</v>
      </c>
      <c r="N83">
        <v>11939.571575944035</v>
      </c>
    </row>
    <row r="84" spans="13:14" x14ac:dyDescent="0.25">
      <c r="M84">
        <v>47</v>
      </c>
      <c r="N84">
        <v>19950.499171629919</v>
      </c>
    </row>
    <row r="85" spans="13:14" x14ac:dyDescent="0.25">
      <c r="M85">
        <v>48</v>
      </c>
      <c r="N85">
        <v>15328.789432761472</v>
      </c>
    </row>
    <row r="86" spans="13:14" x14ac:dyDescent="0.25">
      <c r="M86">
        <v>49</v>
      </c>
      <c r="N86">
        <v>14177.276854269849</v>
      </c>
    </row>
    <row r="87" spans="13:14" x14ac:dyDescent="0.25">
      <c r="M87">
        <v>50</v>
      </c>
      <c r="N87">
        <v>14979.963466001378</v>
      </c>
    </row>
    <row r="88" spans="13:14" x14ac:dyDescent="0.25">
      <c r="M88">
        <v>51</v>
      </c>
      <c r="N88">
        <v>15388.498666628915</v>
      </c>
    </row>
    <row r="89" spans="13:14" x14ac:dyDescent="0.25">
      <c r="M89">
        <v>52</v>
      </c>
      <c r="N89">
        <v>13276.71881518422</v>
      </c>
    </row>
    <row r="90" spans="13:14" x14ac:dyDescent="0.25">
      <c r="M90">
        <v>53</v>
      </c>
      <c r="N90">
        <v>10990.837902981195</v>
      </c>
    </row>
    <row r="91" spans="13:14" x14ac:dyDescent="0.25">
      <c r="M91">
        <v>54</v>
      </c>
      <c r="N91">
        <v>11280.320517574017</v>
      </c>
    </row>
    <row r="92" spans="13:14" x14ac:dyDescent="0.25">
      <c r="M92">
        <v>55</v>
      </c>
      <c r="N92">
        <v>19967.132334180682</v>
      </c>
    </row>
    <row r="93" spans="13:14" x14ac:dyDescent="0.25">
      <c r="M93">
        <v>56</v>
      </c>
      <c r="N93">
        <v>16245.398512476506</v>
      </c>
    </row>
    <row r="94" spans="13:14" x14ac:dyDescent="0.25">
      <c r="M94">
        <v>57</v>
      </c>
      <c r="N94">
        <v>11898.183553212777</v>
      </c>
    </row>
    <row r="95" spans="13:14" x14ac:dyDescent="0.25">
      <c r="M95">
        <v>58</v>
      </c>
      <c r="N95">
        <v>12798.520337899172</v>
      </c>
    </row>
    <row r="96" spans="13:14" x14ac:dyDescent="0.25">
      <c r="M96">
        <v>59</v>
      </c>
      <c r="N96">
        <v>11243.820036698575</v>
      </c>
    </row>
    <row r="97" spans="13:14" x14ac:dyDescent="0.25">
      <c r="M97">
        <v>60</v>
      </c>
      <c r="N97">
        <v>11858.65590604317</v>
      </c>
    </row>
    <row r="98" spans="13:14" x14ac:dyDescent="0.25">
      <c r="M98">
        <v>61</v>
      </c>
      <c r="N98">
        <v>15320.469774853791</v>
      </c>
    </row>
    <row r="99" spans="13:14" x14ac:dyDescent="0.25">
      <c r="M99">
        <v>62</v>
      </c>
      <c r="N99">
        <v>10479.767662768078</v>
      </c>
    </row>
    <row r="100" spans="13:14" x14ac:dyDescent="0.25">
      <c r="M100">
        <v>63</v>
      </c>
      <c r="N100">
        <v>16927.409617214103</v>
      </c>
    </row>
    <row r="101" spans="13:14" x14ac:dyDescent="0.25">
      <c r="M101">
        <v>64</v>
      </c>
      <c r="N101">
        <v>13863.809665317327</v>
      </c>
    </row>
    <row r="102" spans="13:14" x14ac:dyDescent="0.25">
      <c r="M102">
        <v>65</v>
      </c>
      <c r="N102">
        <v>12068.56694257143</v>
      </c>
    </row>
    <row r="103" spans="13:14" x14ac:dyDescent="0.25">
      <c r="M103">
        <v>66</v>
      </c>
      <c r="N103">
        <v>10745.161813419116</v>
      </c>
    </row>
    <row r="104" spans="13:14" x14ac:dyDescent="0.25">
      <c r="M104">
        <v>67</v>
      </c>
      <c r="N104">
        <v>12316.571228305475</v>
      </c>
    </row>
    <row r="105" spans="13:14" x14ac:dyDescent="0.25">
      <c r="M105">
        <v>68</v>
      </c>
      <c r="N105">
        <v>11312.291479999063</v>
      </c>
    </row>
    <row r="106" spans="13:14" x14ac:dyDescent="0.25">
      <c r="M106">
        <v>69</v>
      </c>
      <c r="N106">
        <v>14422.892297714903</v>
      </c>
    </row>
    <row r="107" spans="13:14" x14ac:dyDescent="0.25">
      <c r="M107">
        <v>70</v>
      </c>
      <c r="N107">
        <v>10864.139517467667</v>
      </c>
    </row>
    <row r="108" spans="13:14" x14ac:dyDescent="0.25">
      <c r="M108">
        <v>71</v>
      </c>
      <c r="N108">
        <v>14995.466609233554</v>
      </c>
    </row>
    <row r="109" spans="13:14" x14ac:dyDescent="0.25">
      <c r="M109">
        <v>72</v>
      </c>
      <c r="N109">
        <v>28912.854950008776</v>
      </c>
    </row>
    <row r="110" spans="13:14" x14ac:dyDescent="0.25">
      <c r="M110">
        <v>73</v>
      </c>
      <c r="N110">
        <v>18719.062378712137</v>
      </c>
    </row>
    <row r="111" spans="13:14" x14ac:dyDescent="0.25">
      <c r="M111">
        <v>74</v>
      </c>
      <c r="N111">
        <v>20861.39380534611</v>
      </c>
    </row>
    <row r="112" spans="13:14" x14ac:dyDescent="0.25">
      <c r="M112">
        <v>75</v>
      </c>
      <c r="N112">
        <v>12124.54925149979</v>
      </c>
    </row>
    <row r="113" spans="13:14" x14ac:dyDescent="0.25">
      <c r="M113">
        <v>76</v>
      </c>
      <c r="N113">
        <v>10840.115322752314</v>
      </c>
    </row>
    <row r="114" spans="13:14" x14ac:dyDescent="0.25">
      <c r="M114">
        <v>77</v>
      </c>
      <c r="N114">
        <v>11722.439277160513</v>
      </c>
    </row>
    <row r="115" spans="13:14" x14ac:dyDescent="0.25">
      <c r="M115">
        <v>78</v>
      </c>
      <c r="N115">
        <v>11940.909260072287</v>
      </c>
    </row>
    <row r="116" spans="13:14" x14ac:dyDescent="0.25">
      <c r="M116">
        <v>79</v>
      </c>
      <c r="N116">
        <v>16608.158987622501</v>
      </c>
    </row>
    <row r="117" spans="13:14" x14ac:dyDescent="0.25">
      <c r="M117">
        <v>80</v>
      </c>
      <c r="N117">
        <v>12058.77671983367</v>
      </c>
    </row>
    <row r="118" spans="13:14" x14ac:dyDescent="0.25">
      <c r="M118">
        <v>81</v>
      </c>
      <c r="N118">
        <v>14328.403538140714</v>
      </c>
    </row>
    <row r="119" spans="13:14" x14ac:dyDescent="0.25">
      <c r="M119">
        <v>82</v>
      </c>
      <c r="N119">
        <v>9524.6612512550255</v>
      </c>
    </row>
    <row r="120" spans="13:14" x14ac:dyDescent="0.25">
      <c r="M120">
        <v>83</v>
      </c>
      <c r="N120">
        <v>12755.784999429186</v>
      </c>
    </row>
    <row r="121" spans="13:14" x14ac:dyDescent="0.25">
      <c r="M121">
        <v>84</v>
      </c>
      <c r="N121">
        <v>13478.263476522619</v>
      </c>
    </row>
    <row r="122" spans="13:14" x14ac:dyDescent="0.25">
      <c r="M122">
        <v>85</v>
      </c>
      <c r="N122">
        <v>17207.140190562066</v>
      </c>
    </row>
    <row r="123" spans="13:14" x14ac:dyDescent="0.25">
      <c r="M123">
        <v>86</v>
      </c>
      <c r="N123">
        <v>11952.130995053758</v>
      </c>
    </row>
    <row r="124" spans="13:14" x14ac:dyDescent="0.25">
      <c r="M124">
        <v>87</v>
      </c>
      <c r="N124">
        <v>14071.501979145571</v>
      </c>
    </row>
    <row r="125" spans="13:14" x14ac:dyDescent="0.25">
      <c r="M125">
        <v>88</v>
      </c>
      <c r="N125">
        <v>12017.989672616615</v>
      </c>
    </row>
    <row r="126" spans="13:14" x14ac:dyDescent="0.25">
      <c r="M126">
        <v>89</v>
      </c>
      <c r="N126">
        <v>12440.547340203373</v>
      </c>
    </row>
    <row r="127" spans="13:14" x14ac:dyDescent="0.25">
      <c r="M127">
        <v>90</v>
      </c>
      <c r="N127">
        <v>12731.677815470133</v>
      </c>
    </row>
    <row r="128" spans="13:14" x14ac:dyDescent="0.25">
      <c r="M128">
        <v>91</v>
      </c>
      <c r="N128">
        <v>15742.046361298693</v>
      </c>
    </row>
    <row r="129" spans="13:14" x14ac:dyDescent="0.25">
      <c r="M129">
        <v>92</v>
      </c>
      <c r="N129">
        <v>12974.941449094575</v>
      </c>
    </row>
    <row r="130" spans="13:14" x14ac:dyDescent="0.25">
      <c r="M130">
        <v>93</v>
      </c>
      <c r="N130">
        <v>17817.459679998101</v>
      </c>
    </row>
    <row r="131" spans="13:14" x14ac:dyDescent="0.25">
      <c r="M131">
        <v>94</v>
      </c>
      <c r="N131">
        <v>18375.51534525798</v>
      </c>
    </row>
    <row r="132" spans="13:14" x14ac:dyDescent="0.25">
      <c r="M132">
        <v>95</v>
      </c>
      <c r="N132">
        <v>11827.459050355697</v>
      </c>
    </row>
    <row r="133" spans="13:14" x14ac:dyDescent="0.25">
      <c r="M133">
        <v>96</v>
      </c>
      <c r="N133">
        <v>11774.300412545137</v>
      </c>
    </row>
    <row r="134" spans="13:14" x14ac:dyDescent="0.25">
      <c r="M134">
        <v>97</v>
      </c>
      <c r="N134">
        <v>14820.385542423435</v>
      </c>
    </row>
    <row r="135" spans="13:14" x14ac:dyDescent="0.25">
      <c r="M135">
        <v>98</v>
      </c>
      <c r="N135">
        <v>13284.662275066732</v>
      </c>
    </row>
    <row r="136" spans="13:14" x14ac:dyDescent="0.25">
      <c r="M136">
        <v>99</v>
      </c>
      <c r="N136">
        <v>17233.686614123639</v>
      </c>
    </row>
    <row r="137" spans="13:14" x14ac:dyDescent="0.25">
      <c r="M137">
        <v>100</v>
      </c>
      <c r="N137">
        <v>13608.845390806777</v>
      </c>
    </row>
    <row r="138" spans="13:14" x14ac:dyDescent="0.25">
      <c r="M138">
        <v>101</v>
      </c>
      <c r="N138">
        <v>12622.257059150998</v>
      </c>
    </row>
    <row r="139" spans="13:14" x14ac:dyDescent="0.25">
      <c r="M139">
        <v>102</v>
      </c>
      <c r="N139">
        <v>13770.354376058269</v>
      </c>
    </row>
    <row r="140" spans="13:14" x14ac:dyDescent="0.25">
      <c r="M140">
        <v>103</v>
      </c>
      <c r="N140">
        <v>10055.862232558065</v>
      </c>
    </row>
    <row r="141" spans="13:14" x14ac:dyDescent="0.25">
      <c r="M141">
        <v>104</v>
      </c>
      <c r="N141">
        <v>14103.102868325637</v>
      </c>
    </row>
    <row r="142" spans="13:14" x14ac:dyDescent="0.25">
      <c r="M142">
        <v>105</v>
      </c>
      <c r="N142">
        <v>11659.198868507236</v>
      </c>
    </row>
    <row r="143" spans="13:14" x14ac:dyDescent="0.25">
      <c r="M143">
        <v>106</v>
      </c>
      <c r="N143">
        <v>10336.784914319589</v>
      </c>
    </row>
    <row r="144" spans="13:14" x14ac:dyDescent="0.25">
      <c r="M144">
        <v>107</v>
      </c>
      <c r="N144">
        <v>11186.457269614573</v>
      </c>
    </row>
    <row r="145" spans="13:14" x14ac:dyDescent="0.25">
      <c r="M145">
        <v>108</v>
      </c>
      <c r="N145">
        <v>13726.784699005573</v>
      </c>
    </row>
    <row r="146" spans="13:14" x14ac:dyDescent="0.25">
      <c r="M146">
        <v>109</v>
      </c>
      <c r="N146">
        <v>12981.731557387951</v>
      </c>
    </row>
    <row r="147" spans="13:14" x14ac:dyDescent="0.25">
      <c r="M147">
        <v>110</v>
      </c>
      <c r="N147">
        <v>12218.611240290158</v>
      </c>
    </row>
    <row r="148" spans="13:14" x14ac:dyDescent="0.25">
      <c r="M148">
        <v>111</v>
      </c>
      <c r="N148">
        <v>12886.081238855657</v>
      </c>
    </row>
    <row r="149" spans="13:14" x14ac:dyDescent="0.25">
      <c r="M149">
        <v>112</v>
      </c>
      <c r="N149">
        <v>22575.428460999716</v>
      </c>
    </row>
    <row r="150" spans="13:14" x14ac:dyDescent="0.25">
      <c r="M150">
        <v>113</v>
      </c>
      <c r="N150">
        <v>12152.351640127825</v>
      </c>
    </row>
    <row r="151" spans="13:14" x14ac:dyDescent="0.25">
      <c r="M151">
        <v>114</v>
      </c>
      <c r="N151">
        <v>15448.206834587421</v>
      </c>
    </row>
    <row r="152" spans="13:14" x14ac:dyDescent="0.25">
      <c r="M152">
        <v>115</v>
      </c>
      <c r="N152">
        <v>16881.401928995052</v>
      </c>
    </row>
    <row r="153" spans="13:14" x14ac:dyDescent="0.25">
      <c r="M153">
        <v>116</v>
      </c>
      <c r="N153">
        <v>13509.990687868994</v>
      </c>
    </row>
    <row r="154" spans="13:14" x14ac:dyDescent="0.25">
      <c r="M154">
        <v>117</v>
      </c>
      <c r="N154">
        <v>10840.237521340496</v>
      </c>
    </row>
    <row r="155" spans="13:14" x14ac:dyDescent="0.25">
      <c r="M155">
        <v>118</v>
      </c>
      <c r="N155">
        <v>11326.789653993459</v>
      </c>
    </row>
    <row r="156" spans="13:14" x14ac:dyDescent="0.25">
      <c r="M156">
        <v>119</v>
      </c>
      <c r="N156">
        <v>15921.131177495452</v>
      </c>
    </row>
    <row r="157" spans="13:14" x14ac:dyDescent="0.25">
      <c r="M157">
        <v>120</v>
      </c>
      <c r="N157">
        <v>14785.832709168313</v>
      </c>
    </row>
    <row r="158" spans="13:14" x14ac:dyDescent="0.25">
      <c r="M158">
        <v>121</v>
      </c>
      <c r="N158">
        <v>23811.770195003599</v>
      </c>
    </row>
    <row r="159" spans="13:14" x14ac:dyDescent="0.25">
      <c r="M159">
        <v>122</v>
      </c>
      <c r="N159">
        <v>12289.284711318212</v>
      </c>
    </row>
    <row r="160" spans="13:14" x14ac:dyDescent="0.25">
      <c r="M160">
        <v>123</v>
      </c>
      <c r="N160">
        <v>14416.322832522179</v>
      </c>
    </row>
    <row r="161" spans="13:14" x14ac:dyDescent="0.25">
      <c r="M161">
        <v>124</v>
      </c>
      <c r="N161">
        <v>25514.917776946386</v>
      </c>
    </row>
    <row r="162" spans="13:14" x14ac:dyDescent="0.25">
      <c r="M162">
        <v>125</v>
      </c>
      <c r="N162">
        <v>24270.631217572871</v>
      </c>
    </row>
    <row r="163" spans="13:14" x14ac:dyDescent="0.25">
      <c r="M163">
        <v>126</v>
      </c>
      <c r="N163">
        <v>12704.25697703763</v>
      </c>
    </row>
    <row r="164" spans="13:14" x14ac:dyDescent="0.25">
      <c r="M164">
        <v>127</v>
      </c>
      <c r="N164">
        <v>9531.2103930451849</v>
      </c>
    </row>
    <row r="165" spans="13:14" x14ac:dyDescent="0.25">
      <c r="M165">
        <v>128</v>
      </c>
      <c r="N165">
        <v>7991.4177993828289</v>
      </c>
    </row>
    <row r="166" spans="13:14" x14ac:dyDescent="0.25">
      <c r="M166">
        <v>129</v>
      </c>
      <c r="N166">
        <v>11103.61460282709</v>
      </c>
    </row>
    <row r="167" spans="13:14" x14ac:dyDescent="0.25">
      <c r="M167">
        <v>130</v>
      </c>
      <c r="N167">
        <v>11204.303586502214</v>
      </c>
    </row>
    <row r="168" spans="13:14" x14ac:dyDescent="0.25">
      <c r="M168">
        <v>131</v>
      </c>
      <c r="N168">
        <v>12784.812056811737</v>
      </c>
    </row>
    <row r="169" spans="13:14" x14ac:dyDescent="0.25">
      <c r="M169">
        <v>132</v>
      </c>
      <c r="N169">
        <v>14159.842724825972</v>
      </c>
    </row>
    <row r="170" spans="13:14" x14ac:dyDescent="0.25">
      <c r="M170">
        <v>133</v>
      </c>
      <c r="N170">
        <v>12787.527219676216</v>
      </c>
    </row>
    <row r="171" spans="13:14" x14ac:dyDescent="0.25">
      <c r="M171">
        <v>134</v>
      </c>
      <c r="N171">
        <v>20273.321331361643</v>
      </c>
    </row>
    <row r="172" spans="13:14" x14ac:dyDescent="0.25">
      <c r="M172">
        <v>135</v>
      </c>
      <c r="N172">
        <v>18689.554762898049</v>
      </c>
    </row>
    <row r="173" spans="13:14" x14ac:dyDescent="0.25">
      <c r="M173">
        <v>136</v>
      </c>
      <c r="N173">
        <v>13909.251659347965</v>
      </c>
    </row>
    <row r="174" spans="13:14" x14ac:dyDescent="0.25">
      <c r="M174">
        <v>137</v>
      </c>
      <c r="N174">
        <v>8589.6858261470461</v>
      </c>
    </row>
    <row r="175" spans="13:14" x14ac:dyDescent="0.25">
      <c r="M175">
        <v>138</v>
      </c>
      <c r="N175">
        <v>18351.062727644479</v>
      </c>
    </row>
    <row r="176" spans="13:14" x14ac:dyDescent="0.25">
      <c r="M176">
        <v>139</v>
      </c>
      <c r="N176">
        <v>14971.486920300114</v>
      </c>
    </row>
    <row r="177" spans="13:14" x14ac:dyDescent="0.25">
      <c r="M177">
        <v>140</v>
      </c>
      <c r="N177">
        <v>11498.538421737599</v>
      </c>
    </row>
    <row r="178" spans="13:14" x14ac:dyDescent="0.25">
      <c r="M178">
        <v>141</v>
      </c>
      <c r="N178">
        <v>14503.734709293822</v>
      </c>
    </row>
    <row r="179" spans="13:14" x14ac:dyDescent="0.25">
      <c r="M179">
        <v>142</v>
      </c>
      <c r="N179">
        <v>29082.498133195972</v>
      </c>
    </row>
    <row r="180" spans="13:14" x14ac:dyDescent="0.25">
      <c r="M180">
        <v>143</v>
      </c>
      <c r="N180">
        <v>11703.306289080741</v>
      </c>
    </row>
    <row r="181" spans="13:14" x14ac:dyDescent="0.25">
      <c r="M181">
        <v>144</v>
      </c>
      <c r="N181">
        <v>15638.682437752637</v>
      </c>
    </row>
    <row r="182" spans="13:14" x14ac:dyDescent="0.25">
      <c r="M182">
        <v>145</v>
      </c>
      <c r="N182">
        <v>16139.836718832856</v>
      </c>
    </row>
    <row r="183" spans="13:14" x14ac:dyDescent="0.25">
      <c r="M183">
        <v>146</v>
      </c>
      <c r="N183">
        <v>9876.6728943385569</v>
      </c>
    </row>
    <row r="184" spans="13:14" x14ac:dyDescent="0.25">
      <c r="M184">
        <v>147</v>
      </c>
      <c r="N184">
        <v>19476.352597456054</v>
      </c>
    </row>
    <row r="185" spans="13:14" x14ac:dyDescent="0.25">
      <c r="M185">
        <v>148</v>
      </c>
      <c r="N185">
        <v>11782.99033798615</v>
      </c>
    </row>
    <row r="186" spans="13:14" x14ac:dyDescent="0.25">
      <c r="M186">
        <v>149</v>
      </c>
      <c r="N186">
        <v>10642.826216253108</v>
      </c>
    </row>
    <row r="187" spans="13:14" x14ac:dyDescent="0.25">
      <c r="M187">
        <v>150</v>
      </c>
      <c r="N187">
        <v>15255.433382246129</v>
      </c>
    </row>
    <row r="188" spans="13:14" x14ac:dyDescent="0.25">
      <c r="M188">
        <v>151</v>
      </c>
      <c r="N188">
        <v>12651.714674318713</v>
      </c>
    </row>
    <row r="189" spans="13:14" x14ac:dyDescent="0.25">
      <c r="M189">
        <v>152</v>
      </c>
      <c r="N189">
        <v>18583.086746997335</v>
      </c>
    </row>
    <row r="190" spans="13:14" x14ac:dyDescent="0.25">
      <c r="M190">
        <v>153</v>
      </c>
      <c r="N190">
        <v>12673.026346363424</v>
      </c>
    </row>
    <row r="191" spans="13:14" x14ac:dyDescent="0.25">
      <c r="M191">
        <v>154</v>
      </c>
      <c r="N191">
        <v>12683.392666517499</v>
      </c>
    </row>
    <row r="192" spans="13:14" x14ac:dyDescent="0.25">
      <c r="M192">
        <v>155</v>
      </c>
      <c r="N192">
        <v>11144.736170736513</v>
      </c>
    </row>
    <row r="193" spans="13:14" x14ac:dyDescent="0.25">
      <c r="M193">
        <v>156</v>
      </c>
      <c r="N193">
        <v>9867.6756052572709</v>
      </c>
    </row>
    <row r="194" spans="13:14" x14ac:dyDescent="0.25">
      <c r="M194">
        <v>157</v>
      </c>
      <c r="N194">
        <v>11122.17887864136</v>
      </c>
    </row>
    <row r="195" spans="13:14" x14ac:dyDescent="0.25">
      <c r="M195">
        <v>158</v>
      </c>
      <c r="N195">
        <v>15515.193384062022</v>
      </c>
    </row>
    <row r="196" spans="13:14" x14ac:dyDescent="0.25">
      <c r="M196">
        <v>159</v>
      </c>
      <c r="N196">
        <v>11350.642319067152</v>
      </c>
    </row>
    <row r="197" spans="13:14" x14ac:dyDescent="0.25">
      <c r="M197">
        <v>160</v>
      </c>
      <c r="N197">
        <v>10900.918240761199</v>
      </c>
    </row>
    <row r="198" spans="13:14" x14ac:dyDescent="0.25">
      <c r="M198">
        <v>161</v>
      </c>
      <c r="N198">
        <v>11912.313417858235</v>
      </c>
    </row>
    <row r="199" spans="13:14" x14ac:dyDescent="0.25">
      <c r="M199">
        <v>162</v>
      </c>
      <c r="N199">
        <v>14524.10232481335</v>
      </c>
    </row>
    <row r="200" spans="13:14" x14ac:dyDescent="0.25">
      <c r="M200">
        <v>163</v>
      </c>
      <c r="N200">
        <v>13985.341414989791</v>
      </c>
    </row>
    <row r="201" spans="13:14" x14ac:dyDescent="0.25">
      <c r="M201">
        <v>164</v>
      </c>
      <c r="N201">
        <v>15797.640262501653</v>
      </c>
    </row>
    <row r="202" spans="13:14" x14ac:dyDescent="0.25">
      <c r="M202">
        <v>165</v>
      </c>
      <c r="N202">
        <v>14547.329996490444</v>
      </c>
    </row>
    <row r="203" spans="13:14" x14ac:dyDescent="0.25">
      <c r="M203">
        <v>166</v>
      </c>
      <c r="N203">
        <v>16009.946103030554</v>
      </c>
    </row>
    <row r="204" spans="13:14" x14ac:dyDescent="0.25">
      <c r="M204">
        <v>167</v>
      </c>
      <c r="N204">
        <v>15977.553919387909</v>
      </c>
    </row>
    <row r="205" spans="13:14" x14ac:dyDescent="0.25">
      <c r="M205">
        <v>168</v>
      </c>
      <c r="N205">
        <v>16005.857245317193</v>
      </c>
    </row>
    <row r="206" spans="13:14" x14ac:dyDescent="0.25">
      <c r="M206">
        <v>169</v>
      </c>
      <c r="N206">
        <v>10914.308337617696</v>
      </c>
    </row>
    <row r="207" spans="13:14" x14ac:dyDescent="0.25">
      <c r="M207">
        <v>170</v>
      </c>
      <c r="N207">
        <v>8982.3083720612194</v>
      </c>
    </row>
    <row r="208" spans="13:14" x14ac:dyDescent="0.25">
      <c r="M208">
        <v>171</v>
      </c>
      <c r="N208">
        <v>25106.302432538156</v>
      </c>
    </row>
    <row r="209" spans="13:14" x14ac:dyDescent="0.25">
      <c r="M209">
        <v>172</v>
      </c>
      <c r="N209">
        <v>17367.871353200127</v>
      </c>
    </row>
    <row r="210" spans="13:14" x14ac:dyDescent="0.25">
      <c r="M210">
        <v>173</v>
      </c>
      <c r="N210">
        <v>10458.055494590462</v>
      </c>
    </row>
    <row r="211" spans="13:14" x14ac:dyDescent="0.25">
      <c r="M211">
        <v>174</v>
      </c>
      <c r="N211">
        <v>13345.042643640831</v>
      </c>
    </row>
    <row r="212" spans="13:14" x14ac:dyDescent="0.25">
      <c r="M212">
        <v>175</v>
      </c>
      <c r="N212">
        <v>13893.683419437952</v>
      </c>
    </row>
    <row r="213" spans="13:14" x14ac:dyDescent="0.25">
      <c r="M213">
        <v>176</v>
      </c>
      <c r="N213">
        <v>18476.336510187466</v>
      </c>
    </row>
    <row r="214" spans="13:14" x14ac:dyDescent="0.25">
      <c r="M214">
        <v>177</v>
      </c>
      <c r="N214">
        <v>19434.670103381646</v>
      </c>
    </row>
    <row r="215" spans="13:14" x14ac:dyDescent="0.25">
      <c r="M215">
        <v>178</v>
      </c>
      <c r="N215">
        <v>22535.871182928069</v>
      </c>
    </row>
    <row r="216" spans="13:14" x14ac:dyDescent="0.25">
      <c r="M216">
        <v>179</v>
      </c>
      <c r="N216">
        <v>21698.536974062645</v>
      </c>
    </row>
    <row r="217" spans="13:14" x14ac:dyDescent="0.25">
      <c r="M217">
        <v>180</v>
      </c>
      <c r="N217">
        <v>17980.600006159009</v>
      </c>
    </row>
    <row r="218" spans="13:14" x14ac:dyDescent="0.25">
      <c r="M218">
        <v>181</v>
      </c>
      <c r="N218">
        <v>10778.543173930269</v>
      </c>
    </row>
    <row r="219" spans="13:14" x14ac:dyDescent="0.25">
      <c r="M219">
        <v>182</v>
      </c>
      <c r="N219">
        <v>14128.548295189703</v>
      </c>
    </row>
    <row r="220" spans="13:14" x14ac:dyDescent="0.25">
      <c r="M220">
        <v>183</v>
      </c>
      <c r="N220">
        <v>15782.562498236064</v>
      </c>
    </row>
    <row r="221" spans="13:14" x14ac:dyDescent="0.25">
      <c r="M221">
        <v>184</v>
      </c>
      <c r="N221">
        <v>13977.467385122194</v>
      </c>
    </row>
    <row r="222" spans="13:14" x14ac:dyDescent="0.25">
      <c r="M222">
        <v>185</v>
      </c>
      <c r="N222">
        <v>16405.184449847773</v>
      </c>
    </row>
    <row r="223" spans="13:14" x14ac:dyDescent="0.25">
      <c r="M223">
        <v>186</v>
      </c>
      <c r="N223">
        <v>15549.880192297978</v>
      </c>
    </row>
    <row r="224" spans="13:14" x14ac:dyDescent="0.25">
      <c r="M224">
        <v>187</v>
      </c>
      <c r="N224">
        <v>11150.097318486076</v>
      </c>
    </row>
    <row r="225" spans="13:14" x14ac:dyDescent="0.25">
      <c r="M225">
        <v>188</v>
      </c>
      <c r="N225">
        <v>16069.376677221135</v>
      </c>
    </row>
    <row r="226" spans="13:14" x14ac:dyDescent="0.25">
      <c r="M226">
        <v>189</v>
      </c>
      <c r="N226">
        <v>11720.988957522706</v>
      </c>
    </row>
    <row r="227" spans="13:14" x14ac:dyDescent="0.25">
      <c r="M227">
        <v>190</v>
      </c>
      <c r="N227">
        <v>16078.713113636024</v>
      </c>
    </row>
    <row r="228" spans="13:14" x14ac:dyDescent="0.25">
      <c r="M228">
        <v>191</v>
      </c>
      <c r="N228">
        <v>14626.208165442347</v>
      </c>
    </row>
    <row r="229" spans="13:14" x14ac:dyDescent="0.25">
      <c r="M229">
        <v>192</v>
      </c>
      <c r="N229">
        <v>15135.528408083661</v>
      </c>
    </row>
    <row r="230" spans="13:14" x14ac:dyDescent="0.25">
      <c r="M230">
        <v>193</v>
      </c>
      <c r="N230">
        <v>10875.07176787442</v>
      </c>
    </row>
    <row r="231" spans="13:14" x14ac:dyDescent="0.25">
      <c r="M231">
        <v>194</v>
      </c>
      <c r="N231">
        <v>11810.287934255681</v>
      </c>
    </row>
    <row r="232" spans="13:14" x14ac:dyDescent="0.25">
      <c r="M232">
        <v>195</v>
      </c>
      <c r="N232">
        <v>12317.454683451117</v>
      </c>
    </row>
    <row r="233" spans="13:14" x14ac:dyDescent="0.25">
      <c r="M233">
        <v>196</v>
      </c>
      <c r="N233">
        <v>13752.18678453738</v>
      </c>
    </row>
    <row r="234" spans="13:14" x14ac:dyDescent="0.25">
      <c r="M234">
        <v>197</v>
      </c>
      <c r="N234">
        <v>14778.654150375565</v>
      </c>
    </row>
    <row r="235" spans="13:14" x14ac:dyDescent="0.25">
      <c r="M235">
        <v>198</v>
      </c>
      <c r="N235">
        <v>15995.456145702667</v>
      </c>
    </row>
    <row r="236" spans="13:14" x14ac:dyDescent="0.25">
      <c r="M236">
        <v>199</v>
      </c>
      <c r="N236">
        <v>15614.357140549424</v>
      </c>
    </row>
    <row r="237" spans="13:14" x14ac:dyDescent="0.25">
      <c r="M237">
        <v>200</v>
      </c>
      <c r="N237">
        <v>12306.195216130807</v>
      </c>
    </row>
    <row r="238" spans="13:14" x14ac:dyDescent="0.25">
      <c r="M238">
        <v>201</v>
      </c>
      <c r="N238">
        <v>11519.173058515475</v>
      </c>
    </row>
    <row r="239" spans="13:14" x14ac:dyDescent="0.25">
      <c r="M239">
        <v>202</v>
      </c>
      <c r="N239">
        <v>15068.692611029979</v>
      </c>
    </row>
    <row r="240" spans="13:14" x14ac:dyDescent="0.25">
      <c r="M240">
        <v>203</v>
      </c>
      <c r="N240">
        <v>12933.693798262455</v>
      </c>
    </row>
    <row r="241" spans="13:14" x14ac:dyDescent="0.25">
      <c r="M241">
        <v>204</v>
      </c>
      <c r="N241">
        <v>16719.189036121807</v>
      </c>
    </row>
    <row r="242" spans="13:14" x14ac:dyDescent="0.25">
      <c r="M242">
        <v>205</v>
      </c>
      <c r="N242">
        <v>17045.164079334496</v>
      </c>
    </row>
    <row r="243" spans="13:14" x14ac:dyDescent="0.25">
      <c r="M243">
        <v>206</v>
      </c>
      <c r="N243">
        <v>19110.09477624904</v>
      </c>
    </row>
    <row r="244" spans="13:14" x14ac:dyDescent="0.25">
      <c r="M244">
        <v>207</v>
      </c>
      <c r="N244">
        <v>12170.5458231267</v>
      </c>
    </row>
    <row r="245" spans="13:14" x14ac:dyDescent="0.25">
      <c r="M245">
        <v>208</v>
      </c>
      <c r="N245">
        <v>8463.755394633059</v>
      </c>
    </row>
    <row r="246" spans="13:14" x14ac:dyDescent="0.25">
      <c r="M246">
        <v>209</v>
      </c>
      <c r="N246">
        <v>20889.974065503244</v>
      </c>
    </row>
    <row r="247" spans="13:14" x14ac:dyDescent="0.25">
      <c r="M247">
        <v>210</v>
      </c>
      <c r="N247">
        <v>15488.776659430876</v>
      </c>
    </row>
    <row r="248" spans="13:14" x14ac:dyDescent="0.25">
      <c r="M248">
        <v>211</v>
      </c>
      <c r="N248">
        <v>12238.266500795031</v>
      </c>
    </row>
    <row r="249" spans="13:14" x14ac:dyDescent="0.25">
      <c r="M249">
        <v>212</v>
      </c>
      <c r="N249">
        <v>10941.392833735674</v>
      </c>
    </row>
    <row r="250" spans="13:14" x14ac:dyDescent="0.25">
      <c r="M250">
        <v>213</v>
      </c>
      <c r="N250">
        <v>12931.260092646298</v>
      </c>
    </row>
    <row r="251" spans="13:14" x14ac:dyDescent="0.25">
      <c r="M251">
        <v>214</v>
      </c>
      <c r="N251">
        <v>27833.739372737899</v>
      </c>
    </row>
    <row r="252" spans="13:14" x14ac:dyDescent="0.25">
      <c r="M252">
        <v>215</v>
      </c>
      <c r="N252">
        <v>12287.107462184847</v>
      </c>
    </row>
    <row r="253" spans="13:14" x14ac:dyDescent="0.25">
      <c r="M253">
        <v>216</v>
      </c>
      <c r="N253">
        <v>16333.185461026964</v>
      </c>
    </row>
    <row r="254" spans="13:14" x14ac:dyDescent="0.25">
      <c r="M254">
        <v>217</v>
      </c>
      <c r="N254">
        <v>11878.586905047652</v>
      </c>
    </row>
    <row r="255" spans="13:14" x14ac:dyDescent="0.25">
      <c r="M255">
        <v>218</v>
      </c>
      <c r="N255">
        <v>11065.540312563793</v>
      </c>
    </row>
    <row r="256" spans="13:14" x14ac:dyDescent="0.25">
      <c r="M256">
        <v>219</v>
      </c>
      <c r="N256">
        <v>15305.608934591768</v>
      </c>
    </row>
    <row r="257" spans="13:14" x14ac:dyDescent="0.25">
      <c r="M257">
        <v>220</v>
      </c>
      <c r="N257">
        <v>20915.238247926354</v>
      </c>
    </row>
    <row r="258" spans="13:14" x14ac:dyDescent="0.25">
      <c r="M258">
        <v>221</v>
      </c>
      <c r="N258">
        <v>19446.849899280351</v>
      </c>
    </row>
    <row r="259" spans="13:14" x14ac:dyDescent="0.25">
      <c r="M259">
        <v>222</v>
      </c>
      <c r="N259">
        <v>15076.842794891469</v>
      </c>
    </row>
    <row r="260" spans="13:14" x14ac:dyDescent="0.25">
      <c r="M260">
        <v>223</v>
      </c>
      <c r="N260">
        <v>13097.842616811366</v>
      </c>
    </row>
    <row r="261" spans="13:14" x14ac:dyDescent="0.25">
      <c r="M261">
        <v>224</v>
      </c>
      <c r="N261">
        <v>18170.699635003384</v>
      </c>
    </row>
    <row r="262" spans="13:14" x14ac:dyDescent="0.25">
      <c r="M262">
        <v>225</v>
      </c>
      <c r="N262">
        <v>13402.251082558903</v>
      </c>
    </row>
    <row r="263" spans="13:14" x14ac:dyDescent="0.25">
      <c r="M263">
        <v>226</v>
      </c>
      <c r="N263">
        <v>10515.797780329163</v>
      </c>
    </row>
    <row r="264" spans="13:14" x14ac:dyDescent="0.25">
      <c r="M264">
        <v>227</v>
      </c>
      <c r="N264">
        <v>12517.539763293858</v>
      </c>
    </row>
    <row r="265" spans="13:14" x14ac:dyDescent="0.25">
      <c r="M265">
        <v>228</v>
      </c>
      <c r="N265">
        <v>10288.830200247621</v>
      </c>
    </row>
    <row r="266" spans="13:14" x14ac:dyDescent="0.25">
      <c r="M266">
        <v>229</v>
      </c>
      <c r="N266">
        <v>10789.562546852343</v>
      </c>
    </row>
    <row r="267" spans="13:14" x14ac:dyDescent="0.25">
      <c r="M267">
        <v>230</v>
      </c>
      <c r="N267">
        <v>16942.657230322522</v>
      </c>
    </row>
    <row r="268" spans="13:14" x14ac:dyDescent="0.25">
      <c r="M268">
        <v>231</v>
      </c>
      <c r="N268">
        <v>17691.154656229854</v>
      </c>
    </row>
    <row r="269" spans="13:14" x14ac:dyDescent="0.25">
      <c r="M269">
        <v>232</v>
      </c>
      <c r="N269">
        <v>13482.599752937933</v>
      </c>
    </row>
    <row r="270" spans="13:14" x14ac:dyDescent="0.25">
      <c r="M270">
        <v>233</v>
      </c>
      <c r="N270">
        <v>15868.207193075305</v>
      </c>
    </row>
    <row r="271" spans="13:14" x14ac:dyDescent="0.25">
      <c r="M271">
        <v>234</v>
      </c>
      <c r="N271">
        <v>15014.86939210695</v>
      </c>
    </row>
    <row r="272" spans="13:14" x14ac:dyDescent="0.25">
      <c r="M272">
        <v>235</v>
      </c>
      <c r="N272">
        <v>15635.328639162759</v>
      </c>
    </row>
    <row r="273" spans="13:14" x14ac:dyDescent="0.25">
      <c r="M273">
        <v>236</v>
      </c>
      <c r="N273">
        <v>12132.155299982816</v>
      </c>
    </row>
    <row r="274" spans="13:14" x14ac:dyDescent="0.25">
      <c r="M274">
        <v>237</v>
      </c>
      <c r="N274">
        <v>14782.925257704606</v>
      </c>
    </row>
    <row r="275" spans="13:14" x14ac:dyDescent="0.25">
      <c r="M275">
        <v>238</v>
      </c>
      <c r="N275">
        <v>10764.167786708746</v>
      </c>
    </row>
    <row r="276" spans="13:14" x14ac:dyDescent="0.25">
      <c r="M276">
        <v>239</v>
      </c>
      <c r="N276">
        <v>9785.6931608249834</v>
      </c>
    </row>
    <row r="277" spans="13:14" x14ac:dyDescent="0.25">
      <c r="M277">
        <v>240</v>
      </c>
      <c r="N277">
        <v>11870.642388741673</v>
      </c>
    </row>
    <row r="278" spans="13:14" x14ac:dyDescent="0.25">
      <c r="M278">
        <v>241</v>
      </c>
      <c r="N278">
        <v>11794.71319616851</v>
      </c>
    </row>
    <row r="279" spans="13:14" x14ac:dyDescent="0.25">
      <c r="M279">
        <v>242</v>
      </c>
      <c r="N279">
        <v>15508.751113541939</v>
      </c>
    </row>
    <row r="280" spans="13:14" x14ac:dyDescent="0.25">
      <c r="M280">
        <v>243</v>
      </c>
      <c r="N280">
        <v>18893.835900299953</v>
      </c>
    </row>
    <row r="281" spans="13:14" x14ac:dyDescent="0.25">
      <c r="M281">
        <v>244</v>
      </c>
      <c r="N281">
        <v>24095.226281242431</v>
      </c>
    </row>
    <row r="282" spans="13:14" x14ac:dyDescent="0.25">
      <c r="M282">
        <v>245</v>
      </c>
      <c r="N282">
        <v>14333.943222764521</v>
      </c>
    </row>
    <row r="283" spans="13:14" x14ac:dyDescent="0.25">
      <c r="M283">
        <v>246</v>
      </c>
      <c r="N283">
        <v>14459.551841630881</v>
      </c>
    </row>
    <row r="284" spans="13:14" x14ac:dyDescent="0.25">
      <c r="M284">
        <v>247</v>
      </c>
      <c r="N284">
        <v>12509.447428896117</v>
      </c>
    </row>
    <row r="285" spans="13:14" x14ac:dyDescent="0.25">
      <c r="M285">
        <v>248</v>
      </c>
      <c r="N285">
        <v>12318.341587384286</v>
      </c>
    </row>
    <row r="286" spans="13:14" x14ac:dyDescent="0.25">
      <c r="M286">
        <v>249</v>
      </c>
      <c r="N286">
        <v>14633.613050612421</v>
      </c>
    </row>
    <row r="287" spans="13:14" x14ac:dyDescent="0.25">
      <c r="M287">
        <v>250</v>
      </c>
      <c r="N287">
        <v>10324.361185294571</v>
      </c>
    </row>
    <row r="288" spans="13:14" x14ac:dyDescent="0.25">
      <c r="M288">
        <v>251</v>
      </c>
      <c r="N288">
        <v>20008.380926726328</v>
      </c>
    </row>
    <row r="289" spans="13:14" x14ac:dyDescent="0.25">
      <c r="M289">
        <v>252</v>
      </c>
      <c r="N289">
        <v>21370.562744685009</v>
      </c>
    </row>
    <row r="290" spans="13:14" x14ac:dyDescent="0.25">
      <c r="M290">
        <v>253</v>
      </c>
      <c r="N290">
        <v>11725.646024471338</v>
      </c>
    </row>
    <row r="291" spans="13:14" x14ac:dyDescent="0.25">
      <c r="M291">
        <v>254</v>
      </c>
      <c r="N291">
        <v>12949.257224232177</v>
      </c>
    </row>
    <row r="292" spans="13:14" x14ac:dyDescent="0.25">
      <c r="M292">
        <v>255</v>
      </c>
      <c r="N292">
        <v>11452.36091152422</v>
      </c>
    </row>
    <row r="293" spans="13:14" x14ac:dyDescent="0.25">
      <c r="M293">
        <v>256</v>
      </c>
      <c r="N293">
        <v>12942.43192818814</v>
      </c>
    </row>
    <row r="294" spans="13:14" x14ac:dyDescent="0.25">
      <c r="M294">
        <v>257</v>
      </c>
      <c r="N294">
        <v>15546.254602031804</v>
      </c>
    </row>
    <row r="295" spans="13:14" x14ac:dyDescent="0.25">
      <c r="M295">
        <v>258</v>
      </c>
      <c r="N295">
        <v>11875.016998187764</v>
      </c>
    </row>
    <row r="296" spans="13:14" x14ac:dyDescent="0.25">
      <c r="M296">
        <v>259</v>
      </c>
      <c r="N296">
        <v>15853.801815170278</v>
      </c>
    </row>
    <row r="297" spans="13:14" x14ac:dyDescent="0.25">
      <c r="M297">
        <v>260</v>
      </c>
      <c r="N297">
        <v>9965.6490866618115</v>
      </c>
    </row>
    <row r="298" spans="13:14" x14ac:dyDescent="0.25">
      <c r="M298">
        <v>261</v>
      </c>
      <c r="N298">
        <v>15082.035961971349</v>
      </c>
    </row>
    <row r="299" spans="13:14" x14ac:dyDescent="0.25">
      <c r="M299">
        <v>262</v>
      </c>
      <c r="N299">
        <v>17147.848493736736</v>
      </c>
    </row>
    <row r="300" spans="13:14" x14ac:dyDescent="0.25">
      <c r="M300">
        <v>263</v>
      </c>
      <c r="N300">
        <v>11889.092044031451</v>
      </c>
    </row>
    <row r="301" spans="13:14" x14ac:dyDescent="0.25">
      <c r="M301">
        <v>264</v>
      </c>
      <c r="N301">
        <v>9834.0407305827539</v>
      </c>
    </row>
    <row r="302" spans="13:14" x14ac:dyDescent="0.25">
      <c r="M302">
        <v>265</v>
      </c>
      <c r="N302">
        <v>13312.20629065217</v>
      </c>
    </row>
    <row r="303" spans="13:14" x14ac:dyDescent="0.25">
      <c r="M303">
        <v>266</v>
      </c>
      <c r="N303">
        <v>11648.313104269382</v>
      </c>
    </row>
    <row r="304" spans="13:14" x14ac:dyDescent="0.25">
      <c r="M304">
        <v>267</v>
      </c>
      <c r="N304">
        <v>11941.173249287813</v>
      </c>
    </row>
    <row r="305" spans="13:14" x14ac:dyDescent="0.25">
      <c r="M305">
        <v>268</v>
      </c>
      <c r="N305">
        <v>9643.2159447506401</v>
      </c>
    </row>
    <row r="306" spans="13:14" x14ac:dyDescent="0.25">
      <c r="M306">
        <v>269</v>
      </c>
      <c r="N306">
        <v>11177.47352046227</v>
      </c>
    </row>
    <row r="307" spans="13:14" x14ac:dyDescent="0.25">
      <c r="M307">
        <v>270</v>
      </c>
      <c r="N307">
        <v>13815.938672761957</v>
      </c>
    </row>
    <row r="308" spans="13:14" x14ac:dyDescent="0.25">
      <c r="M308">
        <v>271</v>
      </c>
      <c r="N308">
        <v>16876.346223886452</v>
      </c>
    </row>
    <row r="309" spans="13:14" x14ac:dyDescent="0.25">
      <c r="M309">
        <v>272</v>
      </c>
      <c r="N309">
        <v>8009.7643936594195</v>
      </c>
    </row>
    <row r="310" spans="13:14" x14ac:dyDescent="0.25">
      <c r="M310">
        <v>273</v>
      </c>
      <c r="N310">
        <v>12704.993189705667</v>
      </c>
    </row>
    <row r="311" spans="13:14" x14ac:dyDescent="0.25">
      <c r="M311">
        <v>274</v>
      </c>
      <c r="N311">
        <v>13859.677706809562</v>
      </c>
    </row>
    <row r="312" spans="13:14" x14ac:dyDescent="0.25">
      <c r="M312">
        <v>275</v>
      </c>
      <c r="N312">
        <v>13292.841535949319</v>
      </c>
    </row>
    <row r="313" spans="13:14" x14ac:dyDescent="0.25">
      <c r="M313">
        <v>276</v>
      </c>
      <c r="N313">
        <v>13128.225710576746</v>
      </c>
    </row>
    <row r="314" spans="13:14" x14ac:dyDescent="0.25">
      <c r="M314">
        <v>277</v>
      </c>
      <c r="N314">
        <v>10974.190184710071</v>
      </c>
    </row>
    <row r="315" spans="13:14" x14ac:dyDescent="0.25">
      <c r="M315">
        <v>278</v>
      </c>
      <c r="N315">
        <v>19798.855394355229</v>
      </c>
    </row>
    <row r="316" spans="13:14" x14ac:dyDescent="0.25">
      <c r="M316">
        <v>279</v>
      </c>
      <c r="N316">
        <v>12867.329160479843</v>
      </c>
    </row>
    <row r="317" spans="13:14" x14ac:dyDescent="0.25">
      <c r="M317">
        <v>280</v>
      </c>
      <c r="N317">
        <v>12484.25909241344</v>
      </c>
    </row>
    <row r="318" spans="13:14" x14ac:dyDescent="0.25">
      <c r="M318">
        <v>281</v>
      </c>
      <c r="N318">
        <v>12345.055372557252</v>
      </c>
    </row>
    <row r="319" spans="13:14" x14ac:dyDescent="0.25">
      <c r="M319">
        <v>282</v>
      </c>
      <c r="N319">
        <v>17244.946283526981</v>
      </c>
    </row>
    <row r="320" spans="13:14" x14ac:dyDescent="0.25">
      <c r="M320">
        <v>283</v>
      </c>
      <c r="N320">
        <v>13135.449161579218</v>
      </c>
    </row>
    <row r="321" spans="13:14" x14ac:dyDescent="0.25">
      <c r="M321">
        <v>284</v>
      </c>
      <c r="N321">
        <v>8719.1836028795005</v>
      </c>
    </row>
    <row r="322" spans="13:14" x14ac:dyDescent="0.25">
      <c r="M322">
        <v>285</v>
      </c>
      <c r="N322">
        <v>11882.288791161096</v>
      </c>
    </row>
    <row r="323" spans="13:14" x14ac:dyDescent="0.25">
      <c r="M323">
        <v>286</v>
      </c>
      <c r="N323">
        <v>17118.829389065453</v>
      </c>
    </row>
    <row r="324" spans="13:14" x14ac:dyDescent="0.25">
      <c r="M324">
        <v>287</v>
      </c>
      <c r="N324">
        <v>20104.705145625438</v>
      </c>
    </row>
    <row r="325" spans="13:14" x14ac:dyDescent="0.25">
      <c r="M325">
        <v>288</v>
      </c>
      <c r="N325">
        <v>24123.109457086539</v>
      </c>
    </row>
    <row r="326" spans="13:14" x14ac:dyDescent="0.25">
      <c r="M326">
        <v>289</v>
      </c>
      <c r="N326">
        <v>16387.769214968645</v>
      </c>
    </row>
    <row r="327" spans="13:14" x14ac:dyDescent="0.25">
      <c r="M327">
        <v>290</v>
      </c>
      <c r="N327">
        <v>16128.994594805263</v>
      </c>
    </row>
    <row r="328" spans="13:14" x14ac:dyDescent="0.25">
      <c r="M328">
        <v>291</v>
      </c>
      <c r="N328">
        <v>16065.600884379877</v>
      </c>
    </row>
    <row r="329" spans="13:14" x14ac:dyDescent="0.25">
      <c r="M329">
        <v>292</v>
      </c>
      <c r="N329">
        <v>20388.588848443444</v>
      </c>
    </row>
    <row r="330" spans="13:14" x14ac:dyDescent="0.25">
      <c r="M330">
        <v>293</v>
      </c>
      <c r="N330">
        <v>15509.194586066671</v>
      </c>
    </row>
    <row r="331" spans="13:14" x14ac:dyDescent="0.25">
      <c r="M331">
        <v>294</v>
      </c>
      <c r="N331">
        <v>9864.3297835229769</v>
      </c>
    </row>
    <row r="332" spans="13:14" x14ac:dyDescent="0.25">
      <c r="M332">
        <v>295</v>
      </c>
      <c r="N332">
        <v>17032.967453293801</v>
      </c>
    </row>
    <row r="333" spans="13:14" x14ac:dyDescent="0.25">
      <c r="M333">
        <v>296</v>
      </c>
      <c r="N333">
        <v>13859.342563196411</v>
      </c>
    </row>
    <row r="334" spans="13:14" x14ac:dyDescent="0.25">
      <c r="M334">
        <v>297</v>
      </c>
      <c r="N334">
        <v>13671.891490214733</v>
      </c>
    </row>
    <row r="335" spans="13:14" x14ac:dyDescent="0.25">
      <c r="M335">
        <v>298</v>
      </c>
      <c r="N335">
        <v>15807.596456934956</v>
      </c>
    </row>
    <row r="336" spans="13:14" x14ac:dyDescent="0.25">
      <c r="M336">
        <v>299</v>
      </c>
      <c r="N336">
        <v>16122.151022707623</v>
      </c>
    </row>
    <row r="337" spans="13:14" x14ac:dyDescent="0.25">
      <c r="M337">
        <v>300</v>
      </c>
      <c r="N337">
        <v>19609.072926269859</v>
      </c>
    </row>
    <row r="338" spans="13:14" x14ac:dyDescent="0.25">
      <c r="M338">
        <v>301</v>
      </c>
      <c r="N338">
        <v>15929.449502833044</v>
      </c>
    </row>
    <row r="339" spans="13:14" x14ac:dyDescent="0.25">
      <c r="M339">
        <v>302</v>
      </c>
      <c r="N339">
        <v>13535.376324542494</v>
      </c>
    </row>
    <row r="340" spans="13:14" x14ac:dyDescent="0.25">
      <c r="M340">
        <v>303</v>
      </c>
      <c r="N340">
        <v>21432.352465206743</v>
      </c>
    </row>
    <row r="341" spans="13:14" x14ac:dyDescent="0.25">
      <c r="M341">
        <v>304</v>
      </c>
      <c r="N341">
        <v>14171.850475380505</v>
      </c>
    </row>
    <row r="342" spans="13:14" x14ac:dyDescent="0.25">
      <c r="M342">
        <v>305</v>
      </c>
      <c r="N342">
        <v>16110.934399098735</v>
      </c>
    </row>
    <row r="343" spans="13:14" x14ac:dyDescent="0.25">
      <c r="M343">
        <v>306</v>
      </c>
      <c r="N343">
        <v>16049.314293168378</v>
      </c>
    </row>
    <row r="344" spans="13:14" x14ac:dyDescent="0.25">
      <c r="M344">
        <v>307</v>
      </c>
      <c r="N344">
        <v>11869.770370582768</v>
      </c>
    </row>
    <row r="345" spans="13:14" x14ac:dyDescent="0.25">
      <c r="M345">
        <v>308</v>
      </c>
      <c r="N345">
        <v>12161.172999897131</v>
      </c>
    </row>
    <row r="346" spans="13:14" x14ac:dyDescent="0.25">
      <c r="M346">
        <v>309</v>
      </c>
      <c r="N346">
        <v>15950.137374765303</v>
      </c>
    </row>
    <row r="347" spans="13:14" x14ac:dyDescent="0.25">
      <c r="M347">
        <v>310</v>
      </c>
      <c r="N347">
        <v>21140.638981923184</v>
      </c>
    </row>
    <row r="348" spans="13:14" x14ac:dyDescent="0.25">
      <c r="M348">
        <v>311</v>
      </c>
      <c r="N348">
        <v>12237.976059034972</v>
      </c>
    </row>
    <row r="349" spans="13:14" x14ac:dyDescent="0.25">
      <c r="M349">
        <v>312</v>
      </c>
      <c r="N349">
        <v>17257.667014394508</v>
      </c>
    </row>
    <row r="350" spans="13:14" x14ac:dyDescent="0.25">
      <c r="M350">
        <v>313</v>
      </c>
      <c r="N350">
        <v>13241.081737844472</v>
      </c>
    </row>
    <row r="351" spans="13:14" x14ac:dyDescent="0.25">
      <c r="M351">
        <v>314</v>
      </c>
      <c r="N351">
        <v>12979.647932615348</v>
      </c>
    </row>
    <row r="352" spans="13:14" x14ac:dyDescent="0.25">
      <c r="M352">
        <v>315</v>
      </c>
      <c r="N352">
        <v>12587.956827668353</v>
      </c>
    </row>
    <row r="353" spans="13:14" x14ac:dyDescent="0.25">
      <c r="M353">
        <v>316</v>
      </c>
      <c r="N353">
        <v>14055.764297129748</v>
      </c>
    </row>
    <row r="354" spans="13:14" x14ac:dyDescent="0.25">
      <c r="M354">
        <v>317</v>
      </c>
      <c r="N354">
        <v>13753.186068892403</v>
      </c>
    </row>
    <row r="355" spans="13:14" x14ac:dyDescent="0.25">
      <c r="M355">
        <v>318</v>
      </c>
      <c r="N355">
        <v>12890.940533603962</v>
      </c>
    </row>
    <row r="356" spans="13:14" x14ac:dyDescent="0.25">
      <c r="M356">
        <v>319</v>
      </c>
      <c r="N356">
        <v>14912.072990352359</v>
      </c>
    </row>
    <row r="357" spans="13:14" x14ac:dyDescent="0.25">
      <c r="M357">
        <v>320</v>
      </c>
      <c r="N357">
        <v>10637.422070723891</v>
      </c>
    </row>
    <row r="358" spans="13:14" x14ac:dyDescent="0.25">
      <c r="M358">
        <v>321</v>
      </c>
      <c r="N358">
        <v>17248.591114429855</v>
      </c>
    </row>
    <row r="359" spans="13:14" x14ac:dyDescent="0.25">
      <c r="M359">
        <v>322</v>
      </c>
      <c r="N359">
        <v>14638.931310939404</v>
      </c>
    </row>
    <row r="360" spans="13:14" x14ac:dyDescent="0.25">
      <c r="M360">
        <v>323</v>
      </c>
      <c r="N360">
        <v>22569.868092163404</v>
      </c>
    </row>
    <row r="361" spans="13:14" x14ac:dyDescent="0.25">
      <c r="M361">
        <v>324</v>
      </c>
      <c r="N361">
        <v>12308.774032706626</v>
      </c>
    </row>
    <row r="362" spans="13:14" x14ac:dyDescent="0.25">
      <c r="M362">
        <v>325</v>
      </c>
      <c r="N362">
        <v>13358.559801714629</v>
      </c>
    </row>
    <row r="363" spans="13:14" x14ac:dyDescent="0.25">
      <c r="M363">
        <v>326</v>
      </c>
      <c r="N363">
        <v>15092.561048100986</v>
      </c>
    </row>
    <row r="364" spans="13:14" x14ac:dyDescent="0.25">
      <c r="M364">
        <v>327</v>
      </c>
      <c r="N364">
        <v>30236.583770397803</v>
      </c>
    </row>
    <row r="365" spans="13:14" x14ac:dyDescent="0.25">
      <c r="M365">
        <v>328</v>
      </c>
      <c r="N365">
        <v>37928.441950117172</v>
      </c>
    </row>
    <row r="366" spans="13:14" x14ac:dyDescent="0.25">
      <c r="M366">
        <v>329</v>
      </c>
      <c r="N366">
        <v>14149.107374998312</v>
      </c>
    </row>
    <row r="367" spans="13:14" x14ac:dyDescent="0.25">
      <c r="M367">
        <v>330</v>
      </c>
      <c r="N367">
        <v>11427.518594165678</v>
      </c>
    </row>
    <row r="368" spans="13:14" x14ac:dyDescent="0.25">
      <c r="M368">
        <v>331</v>
      </c>
      <c r="N368">
        <v>10182.859034207695</v>
      </c>
    </row>
    <row r="369" spans="13:14" x14ac:dyDescent="0.25">
      <c r="M369">
        <v>332</v>
      </c>
      <c r="N369">
        <v>12531.492196654412</v>
      </c>
    </row>
    <row r="370" spans="13:14" x14ac:dyDescent="0.25">
      <c r="M370">
        <v>333</v>
      </c>
      <c r="N370">
        <v>9334.2211724560329</v>
      </c>
    </row>
    <row r="371" spans="13:14" x14ac:dyDescent="0.25">
      <c r="M371">
        <v>334</v>
      </c>
      <c r="N371">
        <v>10928.680571617952</v>
      </c>
    </row>
    <row r="372" spans="13:14" x14ac:dyDescent="0.25">
      <c r="M372">
        <v>335</v>
      </c>
      <c r="N372">
        <v>13590.09872123356</v>
      </c>
    </row>
    <row r="373" spans="13:14" x14ac:dyDescent="0.25">
      <c r="M373">
        <v>336</v>
      </c>
      <c r="N373">
        <v>20033.007221058768</v>
      </c>
    </row>
    <row r="374" spans="13:14" x14ac:dyDescent="0.25">
      <c r="M374">
        <v>337</v>
      </c>
      <c r="N374">
        <v>17428.831248062204</v>
      </c>
    </row>
    <row r="375" spans="13:14" x14ac:dyDescent="0.25">
      <c r="M375">
        <v>338</v>
      </c>
      <c r="N375">
        <v>19480.783982430941</v>
      </c>
    </row>
    <row r="376" spans="13:14" x14ac:dyDescent="0.25">
      <c r="M376">
        <v>339</v>
      </c>
      <c r="N376">
        <v>14616.476916938002</v>
      </c>
    </row>
    <row r="377" spans="13:14" x14ac:dyDescent="0.25">
      <c r="M377">
        <v>340</v>
      </c>
      <c r="N377">
        <v>18696.809453693691</v>
      </c>
    </row>
    <row r="378" spans="13:14" x14ac:dyDescent="0.25">
      <c r="M378">
        <v>341</v>
      </c>
      <c r="N378">
        <v>17421.829324903196</v>
      </c>
    </row>
    <row r="379" spans="13:14" x14ac:dyDescent="0.25">
      <c r="M379">
        <v>342</v>
      </c>
      <c r="N379">
        <v>13114.052842452447</v>
      </c>
    </row>
    <row r="380" spans="13:14" x14ac:dyDescent="0.25">
      <c r="M380">
        <v>343</v>
      </c>
      <c r="N380">
        <v>10155.031079808698</v>
      </c>
    </row>
    <row r="381" spans="13:14" x14ac:dyDescent="0.25">
      <c r="M381">
        <v>344</v>
      </c>
      <c r="N381">
        <v>17349.227239665172</v>
      </c>
    </row>
    <row r="382" spans="13:14" x14ac:dyDescent="0.25">
      <c r="M382">
        <v>345</v>
      </c>
      <c r="N382">
        <v>28651.062165583466</v>
      </c>
    </row>
    <row r="383" spans="13:14" x14ac:dyDescent="0.25">
      <c r="M383">
        <v>346</v>
      </c>
      <c r="N383">
        <v>10865.344254647758</v>
      </c>
    </row>
    <row r="384" spans="13:14" x14ac:dyDescent="0.25">
      <c r="M384">
        <v>347</v>
      </c>
      <c r="N384">
        <v>20514.493948743911</v>
      </c>
    </row>
    <row r="385" spans="13:14" x14ac:dyDescent="0.25">
      <c r="M385">
        <v>348</v>
      </c>
      <c r="N385">
        <v>15286.407057351433</v>
      </c>
    </row>
    <row r="386" spans="13:14" x14ac:dyDescent="0.25">
      <c r="M386">
        <v>349</v>
      </c>
      <c r="N386">
        <v>14398.853507517699</v>
      </c>
    </row>
    <row r="387" spans="13:14" x14ac:dyDescent="0.25">
      <c r="M387">
        <v>350</v>
      </c>
      <c r="N387">
        <v>13851.611004767503</v>
      </c>
    </row>
    <row r="388" spans="13:14" x14ac:dyDescent="0.25">
      <c r="M388">
        <v>351</v>
      </c>
      <c r="N388">
        <v>13720.121837577337</v>
      </c>
    </row>
    <row r="389" spans="13:14" x14ac:dyDescent="0.25">
      <c r="M389">
        <v>352</v>
      </c>
      <c r="N389">
        <v>15134.046940680817</v>
      </c>
    </row>
    <row r="390" spans="13:14" x14ac:dyDescent="0.25">
      <c r="M390">
        <v>353</v>
      </c>
      <c r="N390">
        <v>12849.293038105119</v>
      </c>
    </row>
    <row r="391" spans="13:14" x14ac:dyDescent="0.25">
      <c r="M391">
        <v>354</v>
      </c>
      <c r="N391">
        <v>11979.790911697308</v>
      </c>
    </row>
    <row r="392" spans="13:14" x14ac:dyDescent="0.25">
      <c r="M392">
        <v>355</v>
      </c>
      <c r="N392">
        <v>12133.391119269036</v>
      </c>
    </row>
    <row r="393" spans="13:14" x14ac:dyDescent="0.25">
      <c r="M393">
        <v>356</v>
      </c>
      <c r="N393">
        <v>17750.752788239144</v>
      </c>
    </row>
    <row r="394" spans="13:14" x14ac:dyDescent="0.25">
      <c r="M394">
        <v>357</v>
      </c>
      <c r="N394">
        <v>14179.557090350916</v>
      </c>
    </row>
    <row r="395" spans="13:14" x14ac:dyDescent="0.25">
      <c r="M395">
        <v>358</v>
      </c>
      <c r="N395">
        <v>13475.528207692694</v>
      </c>
    </row>
    <row r="396" spans="13:14" x14ac:dyDescent="0.25">
      <c r="M396">
        <v>359</v>
      </c>
      <c r="N396">
        <v>16564.692991477426</v>
      </c>
    </row>
    <row r="397" spans="13:14" x14ac:dyDescent="0.25">
      <c r="M397">
        <v>360</v>
      </c>
      <c r="N397">
        <v>15241.610012751134</v>
      </c>
    </row>
    <row r="398" spans="13:14" x14ac:dyDescent="0.25">
      <c r="M398">
        <v>361</v>
      </c>
      <c r="N398">
        <v>21905.602343607959</v>
      </c>
    </row>
    <row r="399" spans="13:14" x14ac:dyDescent="0.25">
      <c r="M399">
        <v>362</v>
      </c>
      <c r="N399">
        <v>15314.90495572185</v>
      </c>
    </row>
    <row r="400" spans="13:14" x14ac:dyDescent="0.25">
      <c r="M400">
        <v>363</v>
      </c>
      <c r="N400">
        <v>11147.573710211964</v>
      </c>
    </row>
    <row r="401" spans="13:14" x14ac:dyDescent="0.25">
      <c r="M401">
        <v>364</v>
      </c>
      <c r="N401">
        <v>11233.299411942166</v>
      </c>
    </row>
    <row r="402" spans="13:14" x14ac:dyDescent="0.25">
      <c r="M402">
        <v>365</v>
      </c>
      <c r="N402">
        <v>18379.305060131042</v>
      </c>
    </row>
    <row r="403" spans="13:14" x14ac:dyDescent="0.25">
      <c r="M403">
        <v>366</v>
      </c>
      <c r="N403">
        <v>11977.719925328061</v>
      </c>
    </row>
    <row r="404" spans="13:14" x14ac:dyDescent="0.25">
      <c r="M404">
        <v>367</v>
      </c>
      <c r="N404">
        <v>11472.15964558106</v>
      </c>
    </row>
    <row r="405" spans="13:14" x14ac:dyDescent="0.25">
      <c r="M405">
        <v>368</v>
      </c>
      <c r="N405">
        <v>14512.671572756986</v>
      </c>
    </row>
    <row r="406" spans="13:14" x14ac:dyDescent="0.25">
      <c r="M406">
        <v>369</v>
      </c>
      <c r="N406">
        <v>13426.192310714378</v>
      </c>
    </row>
    <row r="407" spans="13:14" x14ac:dyDescent="0.25">
      <c r="M407">
        <v>370</v>
      </c>
      <c r="N407">
        <v>13482.656472302979</v>
      </c>
    </row>
    <row r="408" spans="13:14" x14ac:dyDescent="0.25">
      <c r="M408">
        <v>371</v>
      </c>
      <c r="N408">
        <v>17659.872026784986</v>
      </c>
    </row>
    <row r="409" spans="13:14" x14ac:dyDescent="0.25">
      <c r="M409">
        <v>372</v>
      </c>
      <c r="N409">
        <v>11475.533654529389</v>
      </c>
    </row>
    <row r="410" spans="13:14" x14ac:dyDescent="0.25">
      <c r="M410">
        <v>373</v>
      </c>
      <c r="N410">
        <v>12699.791390144115</v>
      </c>
    </row>
    <row r="411" spans="13:14" x14ac:dyDescent="0.25">
      <c r="M411">
        <v>374</v>
      </c>
      <c r="N411">
        <v>13679.687391773365</v>
      </c>
    </row>
    <row r="412" spans="13:14" x14ac:dyDescent="0.25">
      <c r="M412">
        <v>375</v>
      </c>
      <c r="N412">
        <v>11406.011488438182</v>
      </c>
    </row>
    <row r="413" spans="13:14" x14ac:dyDescent="0.25">
      <c r="M413">
        <v>376</v>
      </c>
      <c r="N413">
        <v>11077.005053312838</v>
      </c>
    </row>
    <row r="414" spans="13:14" x14ac:dyDescent="0.25">
      <c r="M414">
        <v>377</v>
      </c>
      <c r="N414">
        <v>16172.717553887469</v>
      </c>
    </row>
    <row r="415" spans="13:14" x14ac:dyDescent="0.25">
      <c r="M415">
        <v>378</v>
      </c>
      <c r="N415">
        <v>10472.345341824319</v>
      </c>
    </row>
    <row r="416" spans="13:14" x14ac:dyDescent="0.25">
      <c r="M416">
        <v>379</v>
      </c>
      <c r="N416">
        <v>19142.504536568169</v>
      </c>
    </row>
    <row r="417" spans="13:14" x14ac:dyDescent="0.25">
      <c r="M417">
        <v>380</v>
      </c>
      <c r="N417">
        <v>18718.159772546431</v>
      </c>
    </row>
    <row r="418" spans="13:14" x14ac:dyDescent="0.25">
      <c r="M418">
        <v>381</v>
      </c>
      <c r="N418">
        <v>20523.056819462679</v>
      </c>
    </row>
    <row r="419" spans="13:14" x14ac:dyDescent="0.25">
      <c r="M419">
        <v>382</v>
      </c>
      <c r="N419">
        <v>12799.228358883929</v>
      </c>
    </row>
    <row r="420" spans="13:14" x14ac:dyDescent="0.25">
      <c r="M420">
        <v>383</v>
      </c>
      <c r="N420">
        <v>17260.763115532292</v>
      </c>
    </row>
    <row r="421" spans="13:14" x14ac:dyDescent="0.25">
      <c r="M421">
        <v>384</v>
      </c>
      <c r="N421">
        <v>12891.217624095316</v>
      </c>
    </row>
    <row r="422" spans="13:14" x14ac:dyDescent="0.25">
      <c r="M422">
        <v>385</v>
      </c>
      <c r="N422">
        <v>13493.184958403328</v>
      </c>
    </row>
    <row r="423" spans="13:14" x14ac:dyDescent="0.25">
      <c r="M423">
        <v>386</v>
      </c>
      <c r="N423">
        <v>26394.634910782952</v>
      </c>
    </row>
    <row r="424" spans="13:14" x14ac:dyDescent="0.25">
      <c r="M424">
        <v>387</v>
      </c>
      <c r="N424">
        <v>16654.841295981474</v>
      </c>
    </row>
    <row r="425" spans="13:14" x14ac:dyDescent="0.25">
      <c r="M425">
        <v>388</v>
      </c>
      <c r="N425">
        <v>10160.217311230846</v>
      </c>
    </row>
    <row r="426" spans="13:14" x14ac:dyDescent="0.25">
      <c r="M426">
        <v>389</v>
      </c>
      <c r="N426">
        <v>21410.029616158587</v>
      </c>
    </row>
    <row r="427" spans="13:14" x14ac:dyDescent="0.25">
      <c r="M427">
        <v>390</v>
      </c>
      <c r="N427">
        <v>17055.773068435938</v>
      </c>
    </row>
    <row r="428" spans="13:14" x14ac:dyDescent="0.25">
      <c r="M428">
        <v>391</v>
      </c>
      <c r="N428">
        <v>14494.824668947622</v>
      </c>
    </row>
    <row r="429" spans="13:14" x14ac:dyDescent="0.25">
      <c r="M429">
        <v>392</v>
      </c>
      <c r="N429">
        <v>10140.640593366132</v>
      </c>
    </row>
    <row r="430" spans="13:14" x14ac:dyDescent="0.25">
      <c r="M430">
        <v>393</v>
      </c>
      <c r="N430">
        <v>11811.324945407785</v>
      </c>
    </row>
    <row r="431" spans="13:14" x14ac:dyDescent="0.25">
      <c r="M431">
        <v>394</v>
      </c>
      <c r="N431">
        <v>22480.918145034506</v>
      </c>
    </row>
    <row r="432" spans="13:14" x14ac:dyDescent="0.25">
      <c r="M432">
        <v>395</v>
      </c>
      <c r="N432">
        <v>13993.166269214917</v>
      </c>
    </row>
    <row r="433" spans="13:14" x14ac:dyDescent="0.25">
      <c r="M433">
        <v>396</v>
      </c>
      <c r="N433">
        <v>14197.133151104241</v>
      </c>
    </row>
    <row r="434" spans="13:14" x14ac:dyDescent="0.25">
      <c r="M434">
        <v>397</v>
      </c>
      <c r="N434">
        <v>33551.556331459302</v>
      </c>
    </row>
    <row r="435" spans="13:14" x14ac:dyDescent="0.25">
      <c r="M435">
        <v>398</v>
      </c>
      <c r="N435">
        <v>20447.949812098312</v>
      </c>
    </row>
    <row r="436" spans="13:14" x14ac:dyDescent="0.25">
      <c r="M436">
        <v>399</v>
      </c>
      <c r="N436">
        <v>14749.938364939115</v>
      </c>
    </row>
    <row r="437" spans="13:14" x14ac:dyDescent="0.25">
      <c r="M437">
        <v>400</v>
      </c>
      <c r="N437">
        <v>11400.821243087492</v>
      </c>
    </row>
    <row r="438" spans="13:14" x14ac:dyDescent="0.25">
      <c r="M438">
        <v>401</v>
      </c>
      <c r="N438">
        <v>11942.48105553295</v>
      </c>
    </row>
    <row r="439" spans="13:14" x14ac:dyDescent="0.25">
      <c r="M439">
        <v>402</v>
      </c>
      <c r="N439">
        <v>14716.871327184312</v>
      </c>
    </row>
    <row r="440" spans="13:14" x14ac:dyDescent="0.25">
      <c r="M440">
        <v>403</v>
      </c>
      <c r="N440">
        <v>12801.687614233113</v>
      </c>
    </row>
    <row r="441" spans="13:14" x14ac:dyDescent="0.25">
      <c r="M441">
        <v>404</v>
      </c>
      <c r="N441">
        <v>13684.799447900126</v>
      </c>
    </row>
    <row r="442" spans="13:14" x14ac:dyDescent="0.25">
      <c r="M442">
        <v>405</v>
      </c>
      <c r="N442">
        <v>14143.64559524691</v>
      </c>
    </row>
    <row r="443" spans="13:14" x14ac:dyDescent="0.25">
      <c r="M443">
        <v>406</v>
      </c>
      <c r="N443">
        <v>16623.971640716009</v>
      </c>
    </row>
    <row r="444" spans="13:14" x14ac:dyDescent="0.25">
      <c r="M444">
        <v>407</v>
      </c>
      <c r="N444">
        <v>11482.249306299207</v>
      </c>
    </row>
    <row r="445" spans="13:14" x14ac:dyDescent="0.25">
      <c r="M445">
        <v>408</v>
      </c>
      <c r="N445">
        <v>13511.059975059254</v>
      </c>
    </row>
    <row r="446" spans="13:14" x14ac:dyDescent="0.25">
      <c r="M446">
        <v>409</v>
      </c>
      <c r="N446">
        <v>28211.99715503896</v>
      </c>
    </row>
    <row r="447" spans="13:14" x14ac:dyDescent="0.25">
      <c r="M447">
        <v>410</v>
      </c>
      <c r="N447">
        <v>11741.583212451198</v>
      </c>
    </row>
    <row r="448" spans="13:14" x14ac:dyDescent="0.25">
      <c r="M448">
        <v>411</v>
      </c>
      <c r="N448">
        <v>20482.837120301876</v>
      </c>
    </row>
    <row r="449" spans="13:14" x14ac:dyDescent="0.25">
      <c r="M449">
        <v>412</v>
      </c>
      <c r="N449">
        <v>18537.247484603478</v>
      </c>
    </row>
    <row r="450" spans="13:14" x14ac:dyDescent="0.25">
      <c r="M450">
        <v>413</v>
      </c>
      <c r="N450">
        <v>25851.087592074342</v>
      </c>
    </row>
    <row r="451" spans="13:14" x14ac:dyDescent="0.25">
      <c r="M451">
        <v>414</v>
      </c>
      <c r="N451">
        <v>11852.91341999764</v>
      </c>
    </row>
    <row r="452" spans="13:14" x14ac:dyDescent="0.25">
      <c r="M452">
        <v>415</v>
      </c>
      <c r="N452">
        <v>16073.98522749559</v>
      </c>
    </row>
    <row r="453" spans="13:14" x14ac:dyDescent="0.25">
      <c r="M453">
        <v>416</v>
      </c>
      <c r="N453">
        <v>16872.889969845273</v>
      </c>
    </row>
    <row r="454" spans="13:14" x14ac:dyDescent="0.25">
      <c r="M454">
        <v>417</v>
      </c>
      <c r="N454">
        <v>13463.311411180661</v>
      </c>
    </row>
    <row r="455" spans="13:14" x14ac:dyDescent="0.25">
      <c r="M455">
        <v>418</v>
      </c>
      <c r="N455">
        <v>11213.74878408107</v>
      </c>
    </row>
    <row r="456" spans="13:14" x14ac:dyDescent="0.25">
      <c r="M456">
        <v>419</v>
      </c>
      <c r="N456">
        <v>12840.887378021027</v>
      </c>
    </row>
    <row r="457" spans="13:14" x14ac:dyDescent="0.25">
      <c r="M457">
        <v>420</v>
      </c>
      <c r="N457">
        <v>10634.484818755467</v>
      </c>
    </row>
    <row r="458" spans="13:14" x14ac:dyDescent="0.25">
      <c r="M458">
        <v>421</v>
      </c>
      <c r="N458">
        <v>9867.8063662292043</v>
      </c>
    </row>
    <row r="459" spans="13:14" x14ac:dyDescent="0.25">
      <c r="M459">
        <v>422</v>
      </c>
      <c r="N459">
        <v>17052.679893058157</v>
      </c>
    </row>
    <row r="460" spans="13:14" x14ac:dyDescent="0.25">
      <c r="M460">
        <v>423</v>
      </c>
      <c r="N460">
        <v>11828.400015069401</v>
      </c>
    </row>
    <row r="461" spans="13:14" x14ac:dyDescent="0.25">
      <c r="M461">
        <v>424</v>
      </c>
      <c r="N461">
        <v>13370.827133417906</v>
      </c>
    </row>
    <row r="462" spans="13:14" x14ac:dyDescent="0.25">
      <c r="M462">
        <v>425</v>
      </c>
      <c r="N462">
        <v>14246.872033922999</v>
      </c>
    </row>
    <row r="463" spans="13:14" x14ac:dyDescent="0.25">
      <c r="M463">
        <v>426</v>
      </c>
      <c r="N463">
        <v>11548.135397116697</v>
      </c>
    </row>
    <row r="464" spans="13:14" x14ac:dyDescent="0.25">
      <c r="M464">
        <v>427</v>
      </c>
      <c r="N464">
        <v>16183.3986198084</v>
      </c>
    </row>
    <row r="465" spans="13:14" x14ac:dyDescent="0.25">
      <c r="M465">
        <v>428</v>
      </c>
      <c r="N465">
        <v>12857.39306926783</v>
      </c>
    </row>
    <row r="466" spans="13:14" x14ac:dyDescent="0.25">
      <c r="M466">
        <v>429</v>
      </c>
      <c r="N466">
        <v>12981.044200495331</v>
      </c>
    </row>
    <row r="467" spans="13:14" x14ac:dyDescent="0.25">
      <c r="M467">
        <v>430</v>
      </c>
      <c r="N467">
        <v>13059.193100732025</v>
      </c>
    </row>
    <row r="468" spans="13:14" x14ac:dyDescent="0.25">
      <c r="M468">
        <v>431</v>
      </c>
      <c r="N468">
        <v>19270.470591937963</v>
      </c>
    </row>
    <row r="469" spans="13:14" x14ac:dyDescent="0.25">
      <c r="M469">
        <v>432</v>
      </c>
      <c r="N469">
        <v>14339.551208442543</v>
      </c>
    </row>
    <row r="470" spans="13:14" x14ac:dyDescent="0.25">
      <c r="M470">
        <v>433</v>
      </c>
      <c r="N470">
        <v>16051.907062747918</v>
      </c>
    </row>
    <row r="471" spans="13:14" x14ac:dyDescent="0.25">
      <c r="M471">
        <v>434</v>
      </c>
      <c r="N471">
        <v>12757.737414694759</v>
      </c>
    </row>
    <row r="472" spans="13:14" x14ac:dyDescent="0.25">
      <c r="M472">
        <v>435</v>
      </c>
      <c r="N472">
        <v>15965.579919882641</v>
      </c>
    </row>
    <row r="473" spans="13:14" x14ac:dyDescent="0.25">
      <c r="M473">
        <v>436</v>
      </c>
      <c r="N473">
        <v>12055.999935989004</v>
      </c>
    </row>
    <row r="474" spans="13:14" x14ac:dyDescent="0.25">
      <c r="M474">
        <v>437</v>
      </c>
      <c r="N474">
        <v>9187.1176094118273</v>
      </c>
    </row>
    <row r="475" spans="13:14" x14ac:dyDescent="0.25">
      <c r="M475">
        <v>438</v>
      </c>
      <c r="N475">
        <v>18333.93595005721</v>
      </c>
    </row>
    <row r="476" spans="13:14" x14ac:dyDescent="0.25">
      <c r="M476">
        <v>439</v>
      </c>
      <c r="N476">
        <v>17291.65047429132</v>
      </c>
    </row>
    <row r="477" spans="13:14" x14ac:dyDescent="0.25">
      <c r="M477">
        <v>440</v>
      </c>
      <c r="N477">
        <v>11707.497516511474</v>
      </c>
    </row>
    <row r="478" spans="13:14" x14ac:dyDescent="0.25">
      <c r="M478">
        <v>441</v>
      </c>
      <c r="N478">
        <v>10817.120594042204</v>
      </c>
    </row>
    <row r="479" spans="13:14" x14ac:dyDescent="0.25">
      <c r="M479">
        <v>442</v>
      </c>
      <c r="N479">
        <v>13112.184981473794</v>
      </c>
    </row>
    <row r="480" spans="13:14" x14ac:dyDescent="0.25">
      <c r="M480">
        <v>443</v>
      </c>
      <c r="N480">
        <v>29666.262415838952</v>
      </c>
    </row>
    <row r="481" spans="13:14" x14ac:dyDescent="0.25">
      <c r="M481">
        <v>444</v>
      </c>
      <c r="N481">
        <v>14032.378613608633</v>
      </c>
    </row>
    <row r="482" spans="13:14" x14ac:dyDescent="0.25">
      <c r="M482">
        <v>445</v>
      </c>
      <c r="N482">
        <v>12471.185293546449</v>
      </c>
    </row>
    <row r="483" spans="13:14" x14ac:dyDescent="0.25">
      <c r="M483">
        <v>446</v>
      </c>
      <c r="N483">
        <v>16085.263287493442</v>
      </c>
    </row>
    <row r="484" spans="13:14" x14ac:dyDescent="0.25">
      <c r="M484">
        <v>447</v>
      </c>
      <c r="N484">
        <v>15746.512034530329</v>
      </c>
    </row>
    <row r="485" spans="13:14" x14ac:dyDescent="0.25">
      <c r="M485">
        <v>448</v>
      </c>
      <c r="N485">
        <v>14447.48111954378</v>
      </c>
    </row>
    <row r="486" spans="13:14" x14ac:dyDescent="0.25">
      <c r="M486">
        <v>449</v>
      </c>
      <c r="N486">
        <v>10807.499559435804</v>
      </c>
    </row>
    <row r="487" spans="13:14" x14ac:dyDescent="0.25">
      <c r="M487">
        <v>450</v>
      </c>
      <c r="N487">
        <v>23692.617754088937</v>
      </c>
    </row>
    <row r="488" spans="13:14" x14ac:dyDescent="0.25">
      <c r="M488">
        <v>451</v>
      </c>
      <c r="N488">
        <v>14350.542952721238</v>
      </c>
    </row>
    <row r="489" spans="13:14" x14ac:dyDescent="0.25">
      <c r="M489">
        <v>452</v>
      </c>
      <c r="N489">
        <v>13630.970614998951</v>
      </c>
    </row>
    <row r="490" spans="13:14" x14ac:dyDescent="0.25">
      <c r="M490">
        <v>453</v>
      </c>
      <c r="N490">
        <v>52664.329787471332</v>
      </c>
    </row>
    <row r="491" spans="13:14" x14ac:dyDescent="0.25">
      <c r="M491">
        <v>454</v>
      </c>
      <c r="N491">
        <v>12547.615171356043</v>
      </c>
    </row>
    <row r="492" spans="13:14" x14ac:dyDescent="0.25">
      <c r="M492">
        <v>455</v>
      </c>
      <c r="N492">
        <v>15165.800842860599</v>
      </c>
    </row>
    <row r="493" spans="13:14" x14ac:dyDescent="0.25">
      <c r="M493">
        <v>456</v>
      </c>
      <c r="N493">
        <v>17058.040719045832</v>
      </c>
    </row>
    <row r="494" spans="13:14" x14ac:dyDescent="0.25">
      <c r="M494">
        <v>457</v>
      </c>
      <c r="N494">
        <v>11731.001896553338</v>
      </c>
    </row>
    <row r="495" spans="13:14" x14ac:dyDescent="0.25">
      <c r="M495">
        <v>458</v>
      </c>
      <c r="N495">
        <v>24990.037753202549</v>
      </c>
    </row>
    <row r="496" spans="13:14" x14ac:dyDescent="0.25">
      <c r="M496">
        <v>459</v>
      </c>
      <c r="N496">
        <v>18788.63391032871</v>
      </c>
    </row>
    <row r="497" spans="13:14" x14ac:dyDescent="0.25">
      <c r="M497">
        <v>460</v>
      </c>
      <c r="N497">
        <v>18251.511435042092</v>
      </c>
    </row>
    <row r="498" spans="13:14" x14ac:dyDescent="0.25">
      <c r="M498">
        <v>461</v>
      </c>
      <c r="N498">
        <v>22072.472143896306</v>
      </c>
    </row>
    <row r="499" spans="13:14" x14ac:dyDescent="0.25">
      <c r="M499">
        <v>462</v>
      </c>
      <c r="N499">
        <v>21535.363753464015</v>
      </c>
    </row>
    <row r="500" spans="13:14" x14ac:dyDescent="0.25">
      <c r="M500">
        <v>463</v>
      </c>
      <c r="N500">
        <v>14689.725050282879</v>
      </c>
    </row>
    <row r="501" spans="13:14" x14ac:dyDescent="0.25">
      <c r="M501">
        <v>464</v>
      </c>
      <c r="N501">
        <v>13603.208408394625</v>
      </c>
    </row>
    <row r="502" spans="13:14" x14ac:dyDescent="0.25">
      <c r="M502">
        <v>465</v>
      </c>
      <c r="N502">
        <v>15375.18374092345</v>
      </c>
    </row>
    <row r="503" spans="13:14" x14ac:dyDescent="0.25">
      <c r="M503">
        <v>466</v>
      </c>
      <c r="N503">
        <v>11597.60087894662</v>
      </c>
    </row>
    <row r="504" spans="13:14" x14ac:dyDescent="0.25">
      <c r="M504">
        <v>467</v>
      </c>
      <c r="N504">
        <v>20821.113938883325</v>
      </c>
    </row>
    <row r="505" spans="13:14" x14ac:dyDescent="0.25">
      <c r="M505">
        <v>468</v>
      </c>
      <c r="N505">
        <v>17001.980135845653</v>
      </c>
    </row>
    <row r="506" spans="13:14" x14ac:dyDescent="0.25">
      <c r="M506">
        <v>469</v>
      </c>
      <c r="N506">
        <v>12213.149400150591</v>
      </c>
    </row>
    <row r="507" spans="13:14" x14ac:dyDescent="0.25">
      <c r="M507">
        <v>470</v>
      </c>
      <c r="N507">
        <v>18648.331274701708</v>
      </c>
    </row>
    <row r="508" spans="13:14" x14ac:dyDescent="0.25">
      <c r="M508">
        <v>471</v>
      </c>
      <c r="N508">
        <v>16510.466566675481</v>
      </c>
    </row>
    <row r="509" spans="13:14" x14ac:dyDescent="0.25">
      <c r="M509">
        <v>472</v>
      </c>
      <c r="N509">
        <v>15451.878915332269</v>
      </c>
    </row>
    <row r="510" spans="13:14" x14ac:dyDescent="0.25">
      <c r="M510">
        <v>473</v>
      </c>
      <c r="N510">
        <v>11182.696766546527</v>
      </c>
    </row>
    <row r="511" spans="13:14" x14ac:dyDescent="0.25">
      <c r="M511">
        <v>474</v>
      </c>
      <c r="N511">
        <v>14412.159952216918</v>
      </c>
    </row>
    <row r="512" spans="13:14" x14ac:dyDescent="0.25">
      <c r="M512">
        <v>475</v>
      </c>
      <c r="N512">
        <v>12324.01102521509</v>
      </c>
    </row>
    <row r="513" spans="13:14" x14ac:dyDescent="0.25">
      <c r="M513">
        <v>476</v>
      </c>
      <c r="N513">
        <v>13859.892944893734</v>
      </c>
    </row>
    <row r="514" spans="13:14" x14ac:dyDescent="0.25">
      <c r="M514">
        <v>477</v>
      </c>
      <c r="N514">
        <v>18926.260836526759</v>
      </c>
    </row>
    <row r="515" spans="13:14" x14ac:dyDescent="0.25">
      <c r="M515">
        <v>478</v>
      </c>
      <c r="N515">
        <v>11140.770518474483</v>
      </c>
    </row>
    <row r="516" spans="13:14" x14ac:dyDescent="0.25">
      <c r="M516">
        <v>479</v>
      </c>
      <c r="N516">
        <v>12744.182583881404</v>
      </c>
    </row>
    <row r="517" spans="13:14" x14ac:dyDescent="0.25">
      <c r="M517">
        <v>480</v>
      </c>
      <c r="N517">
        <v>17986.66768101143</v>
      </c>
    </row>
    <row r="518" spans="13:14" x14ac:dyDescent="0.25">
      <c r="M518">
        <v>481</v>
      </c>
      <c r="N518">
        <v>9141.6546409709481</v>
      </c>
    </row>
    <row r="519" spans="13:14" x14ac:dyDescent="0.25">
      <c r="M519">
        <v>482</v>
      </c>
      <c r="N519">
        <v>13362.317239292863</v>
      </c>
    </row>
    <row r="520" spans="13:14" x14ac:dyDescent="0.25">
      <c r="M520">
        <v>483</v>
      </c>
      <c r="N520">
        <v>22162.901443587489</v>
      </c>
    </row>
    <row r="521" spans="13:14" x14ac:dyDescent="0.25">
      <c r="M521">
        <v>484</v>
      </c>
      <c r="N521">
        <v>33746.905738220004</v>
      </c>
    </row>
    <row r="522" spans="13:14" x14ac:dyDescent="0.25">
      <c r="M522">
        <v>485</v>
      </c>
      <c r="N522">
        <v>42760.011109945408</v>
      </c>
    </row>
    <row r="523" spans="13:14" x14ac:dyDescent="0.25">
      <c r="M523">
        <v>486</v>
      </c>
      <c r="N523">
        <v>14672.321895686682</v>
      </c>
    </row>
    <row r="524" spans="13:14" x14ac:dyDescent="0.25">
      <c r="M524">
        <v>487</v>
      </c>
      <c r="N524">
        <v>16451.002811185223</v>
      </c>
    </row>
    <row r="525" spans="13:14" x14ac:dyDescent="0.25">
      <c r="M525">
        <v>488</v>
      </c>
      <c r="N525">
        <v>20855.061437189557</v>
      </c>
    </row>
    <row r="526" spans="13:14" x14ac:dyDescent="0.25">
      <c r="M526">
        <v>489</v>
      </c>
      <c r="N526">
        <v>12940.618807121708</v>
      </c>
    </row>
    <row r="527" spans="13:14" x14ac:dyDescent="0.25">
      <c r="M527">
        <v>490</v>
      </c>
      <c r="N527">
        <v>13399.755856626292</v>
      </c>
    </row>
    <row r="528" spans="13:14" x14ac:dyDescent="0.25">
      <c r="M528">
        <v>491</v>
      </c>
      <c r="N528">
        <v>18485.972880096757</v>
      </c>
    </row>
    <row r="529" spans="13:14" x14ac:dyDescent="0.25">
      <c r="M529">
        <v>492</v>
      </c>
      <c r="N529">
        <v>16713.048188712579</v>
      </c>
    </row>
    <row r="530" spans="13:14" x14ac:dyDescent="0.25">
      <c r="M530">
        <v>493</v>
      </c>
      <c r="N530">
        <v>24795.507366904614</v>
      </c>
    </row>
    <row r="531" spans="13:14" x14ac:dyDescent="0.25">
      <c r="M531">
        <v>494</v>
      </c>
      <c r="N531">
        <v>23770.23677366729</v>
      </c>
    </row>
    <row r="532" spans="13:14" x14ac:dyDescent="0.25">
      <c r="M532">
        <v>495</v>
      </c>
      <c r="N532">
        <v>20204.823384121373</v>
      </c>
    </row>
    <row r="533" spans="13:14" x14ac:dyDescent="0.25">
      <c r="M533">
        <v>496</v>
      </c>
      <c r="N533">
        <v>12051.935317323576</v>
      </c>
    </row>
    <row r="534" spans="13:14" x14ac:dyDescent="0.25">
      <c r="M534">
        <v>497</v>
      </c>
      <c r="N534">
        <v>16230.733491114135</v>
      </c>
    </row>
    <row r="535" spans="13:14" x14ac:dyDescent="0.25">
      <c r="M535">
        <v>498</v>
      </c>
      <c r="N535">
        <v>11433.204930434582</v>
      </c>
    </row>
    <row r="536" spans="13:14" x14ac:dyDescent="0.25">
      <c r="M536">
        <v>499</v>
      </c>
      <c r="N536">
        <v>12869.151529929321</v>
      </c>
    </row>
    <row r="537" spans="13:14" x14ac:dyDescent="0.25">
      <c r="M537">
        <v>500</v>
      </c>
      <c r="N537">
        <v>20005.426709022489</v>
      </c>
    </row>
    <row r="538" spans="13:14" x14ac:dyDescent="0.25">
      <c r="M538">
        <v>501</v>
      </c>
      <c r="N538">
        <v>13615.201076232417</v>
      </c>
    </row>
    <row r="539" spans="13:14" x14ac:dyDescent="0.25">
      <c r="M539">
        <v>502</v>
      </c>
      <c r="N539">
        <v>9129.7617087053695</v>
      </c>
    </row>
    <row r="540" spans="13:14" x14ac:dyDescent="0.25">
      <c r="M540">
        <v>503</v>
      </c>
      <c r="N540">
        <v>11496.107489270422</v>
      </c>
    </row>
    <row r="541" spans="13:14" x14ac:dyDescent="0.25">
      <c r="M541">
        <v>504</v>
      </c>
      <c r="N541">
        <v>8991.3757480342538</v>
      </c>
    </row>
    <row r="542" spans="13:14" x14ac:dyDescent="0.25">
      <c r="M542">
        <v>505</v>
      </c>
      <c r="N542">
        <v>13072.834033501076</v>
      </c>
    </row>
    <row r="543" spans="13:14" x14ac:dyDescent="0.25">
      <c r="M543">
        <v>506</v>
      </c>
      <c r="N543">
        <v>75292.579450738762</v>
      </c>
    </row>
    <row r="544" spans="13:14" x14ac:dyDescent="0.25">
      <c r="M544">
        <v>507</v>
      </c>
      <c r="N544">
        <v>14541.884343649996</v>
      </c>
    </row>
    <row r="545" spans="13:14" x14ac:dyDescent="0.25">
      <c r="M545">
        <v>508</v>
      </c>
      <c r="N545">
        <v>16002.387729566248</v>
      </c>
    </row>
    <row r="546" spans="13:14" x14ac:dyDescent="0.25">
      <c r="M546">
        <v>509</v>
      </c>
      <c r="N546">
        <v>19923.951109734178</v>
      </c>
    </row>
    <row r="547" spans="13:14" x14ac:dyDescent="0.25">
      <c r="M547">
        <v>510</v>
      </c>
      <c r="N547">
        <v>10699.881089296236</v>
      </c>
    </row>
    <row r="548" spans="13:14" x14ac:dyDescent="0.25">
      <c r="M548">
        <v>511</v>
      </c>
      <c r="N548">
        <v>15539.020032247385</v>
      </c>
    </row>
    <row r="549" spans="13:14" x14ac:dyDescent="0.25">
      <c r="M549">
        <v>512</v>
      </c>
      <c r="N549">
        <v>13946.497050988666</v>
      </c>
    </row>
    <row r="550" spans="13:14" x14ac:dyDescent="0.25">
      <c r="M550">
        <v>513</v>
      </c>
      <c r="N550">
        <v>12574.653723807847</v>
      </c>
    </row>
    <row r="551" spans="13:14" x14ac:dyDescent="0.25">
      <c r="M551">
        <v>514</v>
      </c>
      <c r="N551">
        <v>13851.937399518814</v>
      </c>
    </row>
    <row r="552" spans="13:14" x14ac:dyDescent="0.25">
      <c r="M552">
        <v>515</v>
      </c>
      <c r="N552">
        <v>13528.1230934001</v>
      </c>
    </row>
    <row r="553" spans="13:14" x14ac:dyDescent="0.25">
      <c r="M553">
        <v>516</v>
      </c>
      <c r="N553">
        <v>10578.880353284581</v>
      </c>
    </row>
    <row r="554" spans="13:14" x14ac:dyDescent="0.25">
      <c r="M554">
        <v>517</v>
      </c>
      <c r="N554">
        <v>17849.765391549434</v>
      </c>
    </row>
    <row r="555" spans="13:14" x14ac:dyDescent="0.25">
      <c r="M555">
        <v>518</v>
      </c>
      <c r="N555">
        <v>16164.188519539772</v>
      </c>
    </row>
    <row r="556" spans="13:14" x14ac:dyDescent="0.25">
      <c r="M556">
        <v>519</v>
      </c>
      <c r="N556">
        <v>11248.213130218886</v>
      </c>
    </row>
    <row r="557" spans="13:14" x14ac:dyDescent="0.25">
      <c r="M557">
        <v>520</v>
      </c>
      <c r="N557">
        <v>15398.380043682542</v>
      </c>
    </row>
    <row r="558" spans="13:14" x14ac:dyDescent="0.25">
      <c r="M558">
        <v>521</v>
      </c>
      <c r="N558">
        <v>15672.914819968377</v>
      </c>
    </row>
    <row r="559" spans="13:14" x14ac:dyDescent="0.25">
      <c r="M559">
        <v>522</v>
      </c>
      <c r="N559">
        <v>17333.520550259393</v>
      </c>
    </row>
    <row r="560" spans="13:14" x14ac:dyDescent="0.25">
      <c r="M560">
        <v>523</v>
      </c>
      <c r="N560">
        <v>18201.474121764637</v>
      </c>
    </row>
    <row r="561" spans="13:14" x14ac:dyDescent="0.25">
      <c r="M561">
        <v>524</v>
      </c>
      <c r="N561">
        <v>14428.71620707788</v>
      </c>
    </row>
    <row r="562" spans="13:14" x14ac:dyDescent="0.25">
      <c r="M562">
        <v>525</v>
      </c>
      <c r="N562">
        <v>13388.171950361773</v>
      </c>
    </row>
    <row r="563" spans="13:14" x14ac:dyDescent="0.25">
      <c r="M563">
        <v>526</v>
      </c>
      <c r="N563">
        <v>13044.819110453602</v>
      </c>
    </row>
    <row r="564" spans="13:14" x14ac:dyDescent="0.25">
      <c r="M564">
        <v>527</v>
      </c>
      <c r="N564">
        <v>14359.354239841265</v>
      </c>
    </row>
    <row r="565" spans="13:14" x14ac:dyDescent="0.25">
      <c r="M565">
        <v>528</v>
      </c>
      <c r="N565">
        <v>14609.410244207786</v>
      </c>
    </row>
    <row r="566" spans="13:14" x14ac:dyDescent="0.25">
      <c r="M566">
        <v>529</v>
      </c>
      <c r="N566">
        <v>23295.34514194449</v>
      </c>
    </row>
    <row r="567" spans="13:14" x14ac:dyDescent="0.25">
      <c r="M567">
        <v>530</v>
      </c>
      <c r="N567">
        <v>15144.225823984443</v>
      </c>
    </row>
    <row r="568" spans="13:14" x14ac:dyDescent="0.25">
      <c r="M568">
        <v>531</v>
      </c>
      <c r="N568">
        <v>12956.900385845882</v>
      </c>
    </row>
    <row r="569" spans="13:14" x14ac:dyDescent="0.25">
      <c r="M569">
        <v>532</v>
      </c>
      <c r="N569">
        <v>17977.617677483679</v>
      </c>
    </row>
    <row r="570" spans="13:14" x14ac:dyDescent="0.25">
      <c r="M570">
        <v>533</v>
      </c>
      <c r="N570">
        <v>13159.986560749225</v>
      </c>
    </row>
    <row r="571" spans="13:14" x14ac:dyDescent="0.25">
      <c r="M571">
        <v>534</v>
      </c>
      <c r="N571">
        <v>12883.577876866055</v>
      </c>
    </row>
    <row r="572" spans="13:14" x14ac:dyDescent="0.25">
      <c r="M572">
        <v>535</v>
      </c>
      <c r="N572">
        <v>19566.384027552336</v>
      </c>
    </row>
    <row r="573" spans="13:14" x14ac:dyDescent="0.25">
      <c r="M573">
        <v>536</v>
      </c>
      <c r="N573">
        <v>18628.515377504631</v>
      </c>
    </row>
    <row r="574" spans="13:14" x14ac:dyDescent="0.25">
      <c r="M574">
        <v>537</v>
      </c>
      <c r="N574">
        <v>12859.11378884304</v>
      </c>
    </row>
    <row r="575" spans="13:14" x14ac:dyDescent="0.25">
      <c r="M575">
        <v>538</v>
      </c>
      <c r="N575">
        <v>9166.0498453857435</v>
      </c>
    </row>
    <row r="576" spans="13:14" x14ac:dyDescent="0.25">
      <c r="M576">
        <v>539</v>
      </c>
      <c r="N576">
        <v>13560.813185971045</v>
      </c>
    </row>
    <row r="577" spans="13:14" x14ac:dyDescent="0.25">
      <c r="M577">
        <v>540</v>
      </c>
      <c r="N577">
        <v>16009.358102294202</v>
      </c>
    </row>
    <row r="578" spans="13:14" x14ac:dyDescent="0.25">
      <c r="M578">
        <v>541</v>
      </c>
      <c r="N578">
        <v>13509.618673599376</v>
      </c>
    </row>
    <row r="579" spans="13:14" x14ac:dyDescent="0.25">
      <c r="M579">
        <v>542</v>
      </c>
      <c r="N579">
        <v>11774.912155951597</v>
      </c>
    </row>
    <row r="580" spans="13:14" x14ac:dyDescent="0.25">
      <c r="M580">
        <v>543</v>
      </c>
      <c r="N580">
        <v>16217.61986504818</v>
      </c>
    </row>
    <row r="581" spans="13:14" x14ac:dyDescent="0.25">
      <c r="M581">
        <v>544</v>
      </c>
      <c r="N581">
        <v>16186.33668060214</v>
      </c>
    </row>
    <row r="582" spans="13:14" x14ac:dyDescent="0.25">
      <c r="M582">
        <v>545</v>
      </c>
      <c r="N582">
        <v>9963.2669841921561</v>
      </c>
    </row>
    <row r="583" spans="13:14" x14ac:dyDescent="0.25">
      <c r="M583">
        <v>546</v>
      </c>
      <c r="N583">
        <v>24116.562330181554</v>
      </c>
    </row>
    <row r="584" spans="13:14" x14ac:dyDescent="0.25">
      <c r="M584">
        <v>547</v>
      </c>
      <c r="N584">
        <v>14219.507423598679</v>
      </c>
    </row>
    <row r="585" spans="13:14" x14ac:dyDescent="0.25">
      <c r="M585">
        <v>548</v>
      </c>
      <c r="N585">
        <v>14682.425411025944</v>
      </c>
    </row>
    <row r="586" spans="13:14" x14ac:dyDescent="0.25">
      <c r="M586">
        <v>549</v>
      </c>
      <c r="N586">
        <v>11192.909423556355</v>
      </c>
    </row>
    <row r="587" spans="13:14" x14ac:dyDescent="0.25">
      <c r="M587">
        <v>550</v>
      </c>
      <c r="N587">
        <v>15022.737897665198</v>
      </c>
    </row>
    <row r="588" spans="13:14" x14ac:dyDescent="0.25">
      <c r="M588">
        <v>551</v>
      </c>
      <c r="N588">
        <v>15250.823713136318</v>
      </c>
    </row>
    <row r="589" spans="13:14" x14ac:dyDescent="0.25">
      <c r="M589">
        <v>552</v>
      </c>
      <c r="N589">
        <v>15079.248744669016</v>
      </c>
    </row>
    <row r="590" spans="13:14" x14ac:dyDescent="0.25">
      <c r="M590">
        <v>553</v>
      </c>
      <c r="N590">
        <v>15911.399657249151</v>
      </c>
    </row>
    <row r="591" spans="13:14" x14ac:dyDescent="0.25">
      <c r="M591">
        <v>554</v>
      </c>
      <c r="N591">
        <v>17144.180121229969</v>
      </c>
    </row>
    <row r="592" spans="13:14" x14ac:dyDescent="0.25">
      <c r="M592">
        <v>555</v>
      </c>
      <c r="N592">
        <v>12091.378619359046</v>
      </c>
    </row>
    <row r="593" spans="13:14" x14ac:dyDescent="0.25">
      <c r="M593">
        <v>556</v>
      </c>
      <c r="N593">
        <v>31392.268599633211</v>
      </c>
    </row>
    <row r="594" spans="13:14" x14ac:dyDescent="0.25">
      <c r="M594">
        <v>557</v>
      </c>
      <c r="N594">
        <v>12244.85421265012</v>
      </c>
    </row>
    <row r="595" spans="13:14" x14ac:dyDescent="0.25">
      <c r="M595">
        <v>558</v>
      </c>
      <c r="N595">
        <v>14160.473079595678</v>
      </c>
    </row>
    <row r="596" spans="13:14" x14ac:dyDescent="0.25">
      <c r="M596">
        <v>559</v>
      </c>
      <c r="N596">
        <v>21421.184756362054</v>
      </c>
    </row>
    <row r="597" spans="13:14" x14ac:dyDescent="0.25">
      <c r="M597">
        <v>560</v>
      </c>
      <c r="N597">
        <v>12437.178792401624</v>
      </c>
    </row>
    <row r="598" spans="13:14" x14ac:dyDescent="0.25">
      <c r="M598">
        <v>561</v>
      </c>
      <c r="N598">
        <v>16380.530374485017</v>
      </c>
    </row>
    <row r="599" spans="13:14" x14ac:dyDescent="0.25">
      <c r="M599">
        <v>562</v>
      </c>
      <c r="N599">
        <v>13019.142834689193</v>
      </c>
    </row>
    <row r="600" spans="13:14" x14ac:dyDescent="0.25">
      <c r="M600">
        <v>563</v>
      </c>
      <c r="N600">
        <v>14860.498433670307</v>
      </c>
    </row>
    <row r="601" spans="13:14" x14ac:dyDescent="0.25">
      <c r="M601">
        <v>564</v>
      </c>
      <c r="N601">
        <v>18723.972759336542</v>
      </c>
    </row>
    <row r="602" spans="13:14" x14ac:dyDescent="0.25">
      <c r="M602">
        <v>565</v>
      </c>
      <c r="N602">
        <v>9307.8810967479112</v>
      </c>
    </row>
    <row r="603" spans="13:14" x14ac:dyDescent="0.25">
      <c r="M603">
        <v>566</v>
      </c>
      <c r="N603">
        <v>16405.479106815881</v>
      </c>
    </row>
    <row r="604" spans="13:14" x14ac:dyDescent="0.25">
      <c r="M604">
        <v>567</v>
      </c>
      <c r="N604">
        <v>14348.926764631102</v>
      </c>
    </row>
    <row r="605" spans="13:14" x14ac:dyDescent="0.25">
      <c r="M605">
        <v>568</v>
      </c>
      <c r="N605">
        <v>9365.5229667308977</v>
      </c>
    </row>
    <row r="606" spans="13:14" x14ac:dyDescent="0.25">
      <c r="M606">
        <v>569</v>
      </c>
      <c r="N606">
        <v>15164.084398510566</v>
      </c>
    </row>
    <row r="607" spans="13:14" x14ac:dyDescent="0.25">
      <c r="M607">
        <v>570</v>
      </c>
      <c r="N607">
        <v>11664.418542037165</v>
      </c>
    </row>
    <row r="608" spans="13:14" x14ac:dyDescent="0.25">
      <c r="M608">
        <v>571</v>
      </c>
      <c r="N608">
        <v>17453.35933509902</v>
      </c>
    </row>
    <row r="609" spans="13:14" x14ac:dyDescent="0.25">
      <c r="M609">
        <v>572</v>
      </c>
      <c r="N609">
        <v>13933.818039727785</v>
      </c>
    </row>
    <row r="610" spans="13:14" x14ac:dyDescent="0.25">
      <c r="M610">
        <v>573</v>
      </c>
      <c r="N610">
        <v>13293.530543046891</v>
      </c>
    </row>
    <row r="611" spans="13:14" x14ac:dyDescent="0.25">
      <c r="M611">
        <v>574</v>
      </c>
      <c r="N611">
        <v>12859.392410526707</v>
      </c>
    </row>
    <row r="612" spans="13:14" x14ac:dyDescent="0.25">
      <c r="M612">
        <v>575</v>
      </c>
      <c r="N612">
        <v>20015.126289329928</v>
      </c>
    </row>
    <row r="613" spans="13:14" x14ac:dyDescent="0.25">
      <c r="M613">
        <v>576</v>
      </c>
      <c r="N613">
        <v>10143.575915114205</v>
      </c>
    </row>
    <row r="614" spans="13:14" x14ac:dyDescent="0.25">
      <c r="M614">
        <v>577</v>
      </c>
      <c r="N614">
        <v>10415.096220468928</v>
      </c>
    </row>
    <row r="615" spans="13:14" x14ac:dyDescent="0.25">
      <c r="M615">
        <v>578</v>
      </c>
      <c r="N615">
        <v>15110.739420464439</v>
      </c>
    </row>
    <row r="616" spans="13:14" x14ac:dyDescent="0.25">
      <c r="M616">
        <v>579</v>
      </c>
      <c r="N616">
        <v>13149.048958737854</v>
      </c>
    </row>
    <row r="617" spans="13:14" x14ac:dyDescent="0.25">
      <c r="M617">
        <v>580</v>
      </c>
      <c r="N617">
        <v>13034.755356331814</v>
      </c>
    </row>
    <row r="618" spans="13:14" x14ac:dyDescent="0.25">
      <c r="M618">
        <v>581</v>
      </c>
      <c r="N618">
        <v>43445.942537026269</v>
      </c>
    </row>
    <row r="619" spans="13:14" x14ac:dyDescent="0.25">
      <c r="M619">
        <v>582</v>
      </c>
      <c r="N619">
        <v>9682.6756507433674</v>
      </c>
    </row>
    <row r="620" spans="13:14" x14ac:dyDescent="0.25">
      <c r="M620">
        <v>583</v>
      </c>
      <c r="N620">
        <v>12634.280808941516</v>
      </c>
    </row>
    <row r="621" spans="13:14" x14ac:dyDescent="0.25">
      <c r="M621">
        <v>584</v>
      </c>
      <c r="N621">
        <v>14604.427871663447</v>
      </c>
    </row>
    <row r="622" spans="13:14" x14ac:dyDescent="0.25">
      <c r="M622">
        <v>585</v>
      </c>
      <c r="N622">
        <v>12963.997047701007</v>
      </c>
    </row>
    <row r="623" spans="13:14" x14ac:dyDescent="0.25">
      <c r="M623">
        <v>586</v>
      </c>
      <c r="N623">
        <v>14748.295436445162</v>
      </c>
    </row>
    <row r="624" spans="13:14" x14ac:dyDescent="0.25">
      <c r="M624">
        <v>587</v>
      </c>
      <c r="N624">
        <v>15072.415225532293</v>
      </c>
    </row>
    <row r="625" spans="13:14" x14ac:dyDescent="0.25">
      <c r="M625">
        <v>588</v>
      </c>
      <c r="N625">
        <v>13592.295638281124</v>
      </c>
    </row>
    <row r="626" spans="13:14" x14ac:dyDescent="0.25">
      <c r="M626">
        <v>589</v>
      </c>
      <c r="N626">
        <v>10710.241663926627</v>
      </c>
    </row>
    <row r="627" spans="13:14" x14ac:dyDescent="0.25">
      <c r="M627">
        <v>590</v>
      </c>
      <c r="N627">
        <v>10880.082107886667</v>
      </c>
    </row>
    <row r="628" spans="13:14" x14ac:dyDescent="0.25">
      <c r="M628">
        <v>591</v>
      </c>
      <c r="N628">
        <v>11599.804088145842</v>
      </c>
    </row>
    <row r="629" spans="13:14" x14ac:dyDescent="0.25">
      <c r="M629">
        <v>592</v>
      </c>
      <c r="N629">
        <v>12099.052765727371</v>
      </c>
    </row>
    <row r="630" spans="13:14" x14ac:dyDescent="0.25">
      <c r="M630">
        <v>593</v>
      </c>
      <c r="N630">
        <v>15153.727769073143</v>
      </c>
    </row>
    <row r="631" spans="13:14" x14ac:dyDescent="0.25">
      <c r="M631">
        <v>594</v>
      </c>
      <c r="N631">
        <v>16160.161586447717</v>
      </c>
    </row>
    <row r="632" spans="13:14" x14ac:dyDescent="0.25">
      <c r="M632">
        <v>595</v>
      </c>
      <c r="N632">
        <v>11669.296252847746</v>
      </c>
    </row>
    <row r="633" spans="13:14" x14ac:dyDescent="0.25">
      <c r="M633">
        <v>596</v>
      </c>
      <c r="N633">
        <v>15693.5042412274</v>
      </c>
    </row>
    <row r="634" spans="13:14" x14ac:dyDescent="0.25">
      <c r="M634">
        <v>597</v>
      </c>
      <c r="N634">
        <v>16053.935975966706</v>
      </c>
    </row>
    <row r="635" spans="13:14" x14ac:dyDescent="0.25">
      <c r="M635">
        <v>598</v>
      </c>
      <c r="N635">
        <v>10538.901473272055</v>
      </c>
    </row>
    <row r="636" spans="13:14" x14ac:dyDescent="0.25">
      <c r="M636">
        <v>599</v>
      </c>
      <c r="N636">
        <v>20250.860410344074</v>
      </c>
    </row>
    <row r="637" spans="13:14" x14ac:dyDescent="0.25">
      <c r="M637">
        <v>600</v>
      </c>
      <c r="N637">
        <v>21798.332080093711</v>
      </c>
    </row>
    <row r="638" spans="13:14" x14ac:dyDescent="0.25">
      <c r="M638">
        <v>601</v>
      </c>
      <c r="N638">
        <v>17521.305889735784</v>
      </c>
    </row>
    <row r="639" spans="13:14" x14ac:dyDescent="0.25">
      <c r="M639">
        <v>602</v>
      </c>
      <c r="N639">
        <v>14300.961258010841</v>
      </c>
    </row>
    <row r="640" spans="13:14" x14ac:dyDescent="0.25">
      <c r="M640">
        <v>603</v>
      </c>
      <c r="N640">
        <v>20475.878486185902</v>
      </c>
    </row>
    <row r="641" spans="13:14" x14ac:dyDescent="0.25">
      <c r="M641">
        <v>604</v>
      </c>
      <c r="N641">
        <v>9583.7706728909434</v>
      </c>
    </row>
    <row r="642" spans="13:14" x14ac:dyDescent="0.25">
      <c r="M642">
        <v>605</v>
      </c>
      <c r="N642">
        <v>17615.118379639396</v>
      </c>
    </row>
    <row r="643" spans="13:14" x14ac:dyDescent="0.25">
      <c r="M643">
        <v>606</v>
      </c>
      <c r="N643">
        <v>8903.8204074860641</v>
      </c>
    </row>
    <row r="644" spans="13:14" x14ac:dyDescent="0.25">
      <c r="M644">
        <v>607</v>
      </c>
      <c r="N644">
        <v>9969.7796053385482</v>
      </c>
    </row>
    <row r="645" spans="13:14" x14ac:dyDescent="0.25">
      <c r="M645">
        <v>608</v>
      </c>
      <c r="N645">
        <v>21571.338352082155</v>
      </c>
    </row>
    <row r="646" spans="13:14" x14ac:dyDescent="0.25">
      <c r="M646">
        <v>609</v>
      </c>
      <c r="N646">
        <v>14011.329446973336</v>
      </c>
    </row>
    <row r="647" spans="13:14" x14ac:dyDescent="0.25">
      <c r="M647">
        <v>610</v>
      </c>
      <c r="N647">
        <v>19601.110223547272</v>
      </c>
    </row>
    <row r="648" spans="13:14" x14ac:dyDescent="0.25">
      <c r="M648">
        <v>611</v>
      </c>
      <c r="N648">
        <v>10595.277674995748</v>
      </c>
    </row>
    <row r="649" spans="13:14" x14ac:dyDescent="0.25">
      <c r="M649">
        <v>612</v>
      </c>
      <c r="N649">
        <v>8414.7425050506081</v>
      </c>
    </row>
    <row r="650" spans="13:14" x14ac:dyDescent="0.25">
      <c r="M650">
        <v>613</v>
      </c>
      <c r="N650">
        <v>19254.624169325154</v>
      </c>
    </row>
    <row r="651" spans="13:14" x14ac:dyDescent="0.25">
      <c r="M651">
        <v>614</v>
      </c>
      <c r="N651">
        <v>14174.97830125656</v>
      </c>
    </row>
    <row r="652" spans="13:14" x14ac:dyDescent="0.25">
      <c r="M652">
        <v>615</v>
      </c>
      <c r="N652">
        <v>18286.823091255836</v>
      </c>
    </row>
    <row r="653" spans="13:14" x14ac:dyDescent="0.25">
      <c r="M653">
        <v>616</v>
      </c>
      <c r="N653">
        <v>31705.632213908368</v>
      </c>
    </row>
    <row r="654" spans="13:14" x14ac:dyDescent="0.25">
      <c r="M654">
        <v>617</v>
      </c>
      <c r="N654">
        <v>11364.804870287706</v>
      </c>
    </row>
    <row r="655" spans="13:14" x14ac:dyDescent="0.25">
      <c r="M655">
        <v>618</v>
      </c>
      <c r="N655">
        <v>9360.9967227634952</v>
      </c>
    </row>
    <row r="656" spans="13:14" x14ac:dyDescent="0.25">
      <c r="M656">
        <v>619</v>
      </c>
      <c r="N656">
        <v>21043.913410241414</v>
      </c>
    </row>
    <row r="657" spans="13:14" x14ac:dyDescent="0.25">
      <c r="M657">
        <v>620</v>
      </c>
      <c r="N657">
        <v>24187.328769630149</v>
      </c>
    </row>
    <row r="658" spans="13:14" x14ac:dyDescent="0.25">
      <c r="M658">
        <v>621</v>
      </c>
      <c r="N658">
        <v>11570.302671757812</v>
      </c>
    </row>
    <row r="659" spans="13:14" x14ac:dyDescent="0.25">
      <c r="M659">
        <v>622</v>
      </c>
      <c r="N659">
        <v>16584.567469231442</v>
      </c>
    </row>
    <row r="660" spans="13:14" x14ac:dyDescent="0.25">
      <c r="M660">
        <v>623</v>
      </c>
      <c r="N660">
        <v>11271.206618929398</v>
      </c>
    </row>
    <row r="661" spans="13:14" x14ac:dyDescent="0.25">
      <c r="M661">
        <v>624</v>
      </c>
      <c r="N661">
        <v>11836.372032968531</v>
      </c>
    </row>
    <row r="662" spans="13:14" x14ac:dyDescent="0.25">
      <c r="M662">
        <v>625</v>
      </c>
      <c r="N662">
        <v>15174.109267394346</v>
      </c>
    </row>
    <row r="663" spans="13:14" x14ac:dyDescent="0.25">
      <c r="M663">
        <v>626</v>
      </c>
      <c r="N663">
        <v>10820.348533959148</v>
      </c>
    </row>
    <row r="664" spans="13:14" x14ac:dyDescent="0.25">
      <c r="M664">
        <v>627</v>
      </c>
      <c r="N664">
        <v>9722.2076191506931</v>
      </c>
    </row>
    <row r="665" spans="13:14" x14ac:dyDescent="0.25">
      <c r="M665">
        <v>628</v>
      </c>
      <c r="N665">
        <v>11921.453563158335</v>
      </c>
    </row>
    <row r="666" spans="13:14" x14ac:dyDescent="0.25">
      <c r="M666">
        <v>629</v>
      </c>
      <c r="N666">
        <v>13745.596610201945</v>
      </c>
    </row>
    <row r="667" spans="13:14" x14ac:dyDescent="0.25">
      <c r="M667">
        <v>630</v>
      </c>
      <c r="N667">
        <v>13354.385556309462</v>
      </c>
    </row>
    <row r="668" spans="13:14" x14ac:dyDescent="0.25">
      <c r="M668">
        <v>631</v>
      </c>
      <c r="N668">
        <v>25959.040028178872</v>
      </c>
    </row>
    <row r="669" spans="13:14" x14ac:dyDescent="0.25">
      <c r="M669">
        <v>632</v>
      </c>
      <c r="N669">
        <v>14273.156942195526</v>
      </c>
    </row>
    <row r="670" spans="13:14" x14ac:dyDescent="0.25">
      <c r="M670">
        <v>633</v>
      </c>
      <c r="N670">
        <v>18280.920626301675</v>
      </c>
    </row>
    <row r="671" spans="13:14" x14ac:dyDescent="0.25">
      <c r="M671">
        <v>634</v>
      </c>
      <c r="N671">
        <v>10520.077746358522</v>
      </c>
    </row>
    <row r="672" spans="13:14" x14ac:dyDescent="0.25">
      <c r="M672">
        <v>635</v>
      </c>
      <c r="N672">
        <v>13507.66173829382</v>
      </c>
    </row>
    <row r="673" spans="13:14" x14ac:dyDescent="0.25">
      <c r="M673">
        <v>636</v>
      </c>
      <c r="N673">
        <v>16391.961916631371</v>
      </c>
    </row>
    <row r="674" spans="13:14" x14ac:dyDescent="0.25">
      <c r="M674">
        <v>637</v>
      </c>
      <c r="N674">
        <v>10944.505352764405</v>
      </c>
    </row>
    <row r="675" spans="13:14" x14ac:dyDescent="0.25">
      <c r="M675">
        <v>638</v>
      </c>
      <c r="N675">
        <v>14470.24327829725</v>
      </c>
    </row>
    <row r="676" spans="13:14" x14ac:dyDescent="0.25">
      <c r="M676">
        <v>639</v>
      </c>
      <c r="N676">
        <v>11017.225601292499</v>
      </c>
    </row>
    <row r="677" spans="13:14" x14ac:dyDescent="0.25">
      <c r="M677">
        <v>640</v>
      </c>
      <c r="N677">
        <v>16262.947592111599</v>
      </c>
    </row>
    <row r="678" spans="13:14" x14ac:dyDescent="0.25">
      <c r="M678">
        <v>641</v>
      </c>
      <c r="N678">
        <v>10999.639427391987</v>
      </c>
    </row>
    <row r="679" spans="13:14" x14ac:dyDescent="0.25">
      <c r="M679">
        <v>642</v>
      </c>
      <c r="N679">
        <v>12408.95572160439</v>
      </c>
    </row>
    <row r="680" spans="13:14" x14ac:dyDescent="0.25">
      <c r="M680">
        <v>643</v>
      </c>
      <c r="N680">
        <v>14459.085783200968</v>
      </c>
    </row>
    <row r="681" spans="13:14" x14ac:dyDescent="0.25">
      <c r="M681">
        <v>644</v>
      </c>
      <c r="N681">
        <v>14399.296182608061</v>
      </c>
    </row>
    <row r="682" spans="13:14" x14ac:dyDescent="0.25">
      <c r="M682">
        <v>645</v>
      </c>
      <c r="N682">
        <v>16667.062228652467</v>
      </c>
    </row>
    <row r="683" spans="13:14" x14ac:dyDescent="0.25">
      <c r="M683">
        <v>646</v>
      </c>
      <c r="N683">
        <v>14439.941542350642</v>
      </c>
    </row>
    <row r="684" spans="13:14" x14ac:dyDescent="0.25">
      <c r="M684">
        <v>647</v>
      </c>
      <c r="N684">
        <v>15344.71808998445</v>
      </c>
    </row>
    <row r="685" spans="13:14" x14ac:dyDescent="0.25">
      <c r="M685">
        <v>648</v>
      </c>
      <c r="N685">
        <v>11115.82429105353</v>
      </c>
    </row>
    <row r="686" spans="13:14" x14ac:dyDescent="0.25">
      <c r="M686">
        <v>649</v>
      </c>
      <c r="N686">
        <v>12037.662007612087</v>
      </c>
    </row>
    <row r="687" spans="13:14" x14ac:dyDescent="0.25">
      <c r="M687">
        <v>650</v>
      </c>
      <c r="N687">
        <v>12504.596118903932</v>
      </c>
    </row>
    <row r="688" spans="13:14" x14ac:dyDescent="0.25">
      <c r="M688">
        <v>651</v>
      </c>
      <c r="N688">
        <v>14604.939965489943</v>
      </c>
    </row>
    <row r="689" spans="13:14" x14ac:dyDescent="0.25">
      <c r="M689">
        <v>652</v>
      </c>
      <c r="N689">
        <v>10724.540367708625</v>
      </c>
    </row>
    <row r="690" spans="13:14" x14ac:dyDescent="0.25">
      <c r="M690">
        <v>653</v>
      </c>
      <c r="N690">
        <v>12584.833754967722</v>
      </c>
    </row>
    <row r="691" spans="13:14" x14ac:dyDescent="0.25">
      <c r="M691">
        <v>654</v>
      </c>
      <c r="N691">
        <v>13226.430220157392</v>
      </c>
    </row>
    <row r="692" spans="13:14" x14ac:dyDescent="0.25">
      <c r="M692">
        <v>655</v>
      </c>
      <c r="N692">
        <v>12470.013887321587</v>
      </c>
    </row>
    <row r="693" spans="13:14" x14ac:dyDescent="0.25">
      <c r="M693">
        <v>656</v>
      </c>
      <c r="N693">
        <v>20718.351624259441</v>
      </c>
    </row>
    <row r="694" spans="13:14" x14ac:dyDescent="0.25">
      <c r="M694">
        <v>657</v>
      </c>
      <c r="N694">
        <v>11995.799461693028</v>
      </c>
    </row>
    <row r="695" spans="13:14" x14ac:dyDescent="0.25">
      <c r="M695">
        <v>658</v>
      </c>
      <c r="N695">
        <v>12248.757699591668</v>
      </c>
    </row>
    <row r="696" spans="13:14" x14ac:dyDescent="0.25">
      <c r="M696">
        <v>659</v>
      </c>
      <c r="N696">
        <v>9791.0361303840291</v>
      </c>
    </row>
    <row r="697" spans="13:14" x14ac:dyDescent="0.25">
      <c r="M697">
        <v>660</v>
      </c>
      <c r="N697">
        <v>11061.200052722384</v>
      </c>
    </row>
    <row r="698" spans="13:14" x14ac:dyDescent="0.25">
      <c r="M698">
        <v>661</v>
      </c>
      <c r="N698">
        <v>12292.849350122227</v>
      </c>
    </row>
    <row r="699" spans="13:14" x14ac:dyDescent="0.25">
      <c r="M699">
        <v>662</v>
      </c>
      <c r="N699">
        <v>12765.148710559621</v>
      </c>
    </row>
    <row r="700" spans="13:14" x14ac:dyDescent="0.25">
      <c r="M700">
        <v>663</v>
      </c>
      <c r="N700">
        <v>14960.69192506455</v>
      </c>
    </row>
    <row r="701" spans="13:14" x14ac:dyDescent="0.25">
      <c r="M701">
        <v>664</v>
      </c>
      <c r="N701">
        <v>16558.150799647519</v>
      </c>
    </row>
    <row r="702" spans="13:14" x14ac:dyDescent="0.25">
      <c r="M702">
        <v>665</v>
      </c>
      <c r="N702">
        <v>18985.490052678284</v>
      </c>
    </row>
    <row r="703" spans="13:14" x14ac:dyDescent="0.25">
      <c r="M703">
        <v>666</v>
      </c>
      <c r="N703">
        <v>16059.164530633128</v>
      </c>
    </row>
    <row r="704" spans="13:14" x14ac:dyDescent="0.25">
      <c r="M704">
        <v>667</v>
      </c>
      <c r="N704">
        <v>11370.753719430289</v>
      </c>
    </row>
    <row r="705" spans="13:14" x14ac:dyDescent="0.25">
      <c r="M705">
        <v>668</v>
      </c>
      <c r="N705">
        <v>16559.824527585995</v>
      </c>
    </row>
    <row r="706" spans="13:14" x14ac:dyDescent="0.25">
      <c r="M706">
        <v>669</v>
      </c>
      <c r="N706">
        <v>12618.007187509527</v>
      </c>
    </row>
    <row r="707" spans="13:14" x14ac:dyDescent="0.25">
      <c r="M707">
        <v>670</v>
      </c>
      <c r="N707">
        <v>13374.854959694758</v>
      </c>
    </row>
    <row r="708" spans="13:14" x14ac:dyDescent="0.25">
      <c r="M708">
        <v>671</v>
      </c>
      <c r="N708">
        <v>12831.770029376321</v>
      </c>
    </row>
    <row r="709" spans="13:14" x14ac:dyDescent="0.25">
      <c r="M709">
        <v>672</v>
      </c>
      <c r="N709">
        <v>17210.160335840697</v>
      </c>
    </row>
    <row r="710" spans="13:14" x14ac:dyDescent="0.25">
      <c r="M710">
        <v>673</v>
      </c>
      <c r="N710">
        <v>13134.060200348302</v>
      </c>
    </row>
    <row r="711" spans="13:14" x14ac:dyDescent="0.25">
      <c r="M711">
        <v>674</v>
      </c>
      <c r="N711">
        <v>12433.259851990155</v>
      </c>
    </row>
    <row r="712" spans="13:14" x14ac:dyDescent="0.25">
      <c r="M712">
        <v>675</v>
      </c>
      <c r="N712">
        <v>12052.116134982136</v>
      </c>
    </row>
    <row r="713" spans="13:14" x14ac:dyDescent="0.25">
      <c r="M713">
        <v>676</v>
      </c>
      <c r="N713">
        <v>15596.145286705045</v>
      </c>
    </row>
    <row r="714" spans="13:14" x14ac:dyDescent="0.25">
      <c r="M714">
        <v>677</v>
      </c>
      <c r="N714">
        <v>11095.090808407605</v>
      </c>
    </row>
    <row r="715" spans="13:14" x14ac:dyDescent="0.25">
      <c r="M715">
        <v>678</v>
      </c>
      <c r="N715">
        <v>11912.001064894233</v>
      </c>
    </row>
    <row r="716" spans="13:14" x14ac:dyDescent="0.25">
      <c r="M716">
        <v>679</v>
      </c>
      <c r="N716">
        <v>13953.808805945859</v>
      </c>
    </row>
    <row r="717" spans="13:14" x14ac:dyDescent="0.25">
      <c r="M717">
        <v>680</v>
      </c>
      <c r="N717">
        <v>12210.83423775604</v>
      </c>
    </row>
    <row r="718" spans="13:14" x14ac:dyDescent="0.25">
      <c r="M718">
        <v>681</v>
      </c>
      <c r="N718">
        <v>27054.097686356738</v>
      </c>
    </row>
    <row r="719" spans="13:14" x14ac:dyDescent="0.25">
      <c r="M719">
        <v>682</v>
      </c>
      <c r="N719">
        <v>13239.354308812362</v>
      </c>
    </row>
    <row r="720" spans="13:14" x14ac:dyDescent="0.25">
      <c r="M720">
        <v>683</v>
      </c>
      <c r="N720">
        <v>9887.8683280804271</v>
      </c>
    </row>
    <row r="721" spans="13:14" x14ac:dyDescent="0.25">
      <c r="M721">
        <v>684</v>
      </c>
      <c r="N721">
        <v>15665.712893815722</v>
      </c>
    </row>
    <row r="722" spans="13:14" x14ac:dyDescent="0.25">
      <c r="M722">
        <v>685</v>
      </c>
      <c r="N722">
        <v>25648.619632534479</v>
      </c>
    </row>
    <row r="723" spans="13:14" x14ac:dyDescent="0.25">
      <c r="M723">
        <v>686</v>
      </c>
      <c r="N723">
        <v>15241.255908390856</v>
      </c>
    </row>
    <row r="724" spans="13:14" x14ac:dyDescent="0.25">
      <c r="M724">
        <v>687</v>
      </c>
      <c r="N724">
        <v>13873.853449397884</v>
      </c>
    </row>
    <row r="725" spans="13:14" x14ac:dyDescent="0.25">
      <c r="M725">
        <v>688</v>
      </c>
      <c r="N725">
        <v>14857.516937373808</v>
      </c>
    </row>
    <row r="726" spans="13:14" x14ac:dyDescent="0.25">
      <c r="M726">
        <v>689</v>
      </c>
      <c r="N726">
        <v>10864.912194547551</v>
      </c>
    </row>
    <row r="727" spans="13:14" x14ac:dyDescent="0.25">
      <c r="M727">
        <v>690</v>
      </c>
      <c r="N727">
        <v>13070.374700129374</v>
      </c>
    </row>
    <row r="728" spans="13:14" x14ac:dyDescent="0.25">
      <c r="M728">
        <v>691</v>
      </c>
      <c r="N728">
        <v>15283.233050178209</v>
      </c>
    </row>
    <row r="729" spans="13:14" x14ac:dyDescent="0.25">
      <c r="M729">
        <v>692</v>
      </c>
      <c r="N729">
        <v>10269.285585471926</v>
      </c>
    </row>
    <row r="730" spans="13:14" x14ac:dyDescent="0.25">
      <c r="M730">
        <v>693</v>
      </c>
      <c r="N730">
        <v>14221.905164394313</v>
      </c>
    </row>
    <row r="731" spans="13:14" x14ac:dyDescent="0.25">
      <c r="M731">
        <v>694</v>
      </c>
      <c r="N731">
        <v>9397.1319998877352</v>
      </c>
    </row>
    <row r="732" spans="13:14" x14ac:dyDescent="0.25">
      <c r="M732">
        <v>695</v>
      </c>
      <c r="N732">
        <v>10738.769344698645</v>
      </c>
    </row>
    <row r="733" spans="13:14" x14ac:dyDescent="0.25">
      <c r="M733">
        <v>696</v>
      </c>
      <c r="N733">
        <v>10545.043045052378</v>
      </c>
    </row>
    <row r="734" spans="13:14" x14ac:dyDescent="0.25">
      <c r="M734">
        <v>697</v>
      </c>
      <c r="N734">
        <v>10057.723649685795</v>
      </c>
    </row>
    <row r="735" spans="13:14" x14ac:dyDescent="0.25">
      <c r="M735">
        <v>698</v>
      </c>
      <c r="N735">
        <v>23380.491420156461</v>
      </c>
    </row>
    <row r="736" spans="13:14" x14ac:dyDescent="0.25">
      <c r="M736">
        <v>699</v>
      </c>
      <c r="N736">
        <v>18670.245629129335</v>
      </c>
    </row>
    <row r="737" spans="13:14" x14ac:dyDescent="0.25">
      <c r="M737">
        <v>700</v>
      </c>
      <c r="N737">
        <v>17177.36482776863</v>
      </c>
    </row>
    <row r="738" spans="13:14" x14ac:dyDescent="0.25">
      <c r="M738">
        <v>701</v>
      </c>
      <c r="N738">
        <v>13701.919941927998</v>
      </c>
    </row>
    <row r="739" spans="13:14" x14ac:dyDescent="0.25">
      <c r="M739">
        <v>702</v>
      </c>
      <c r="N739">
        <v>11181.377797828582</v>
      </c>
    </row>
    <row r="740" spans="13:14" x14ac:dyDescent="0.25">
      <c r="M740">
        <v>703</v>
      </c>
      <c r="N740">
        <v>19098.108145458031</v>
      </c>
    </row>
    <row r="741" spans="13:14" x14ac:dyDescent="0.25">
      <c r="M741">
        <v>704</v>
      </c>
      <c r="N741">
        <v>15472.908428164885</v>
      </c>
    </row>
    <row r="742" spans="13:14" x14ac:dyDescent="0.25">
      <c r="M742">
        <v>705</v>
      </c>
      <c r="N742">
        <v>24450.636379060321</v>
      </c>
    </row>
    <row r="743" spans="13:14" x14ac:dyDescent="0.25">
      <c r="M743">
        <v>706</v>
      </c>
      <c r="N743">
        <v>16345.501390582089</v>
      </c>
    </row>
    <row r="744" spans="13:14" x14ac:dyDescent="0.25">
      <c r="M744">
        <v>707</v>
      </c>
      <c r="N744">
        <v>11756.277698589827</v>
      </c>
    </row>
    <row r="745" spans="13:14" x14ac:dyDescent="0.25">
      <c r="M745">
        <v>708</v>
      </c>
      <c r="N745">
        <v>16242.331480598441</v>
      </c>
    </row>
    <row r="746" spans="13:14" x14ac:dyDescent="0.25">
      <c r="M746">
        <v>709</v>
      </c>
      <c r="N746">
        <v>16947.283219675126</v>
      </c>
    </row>
    <row r="747" spans="13:14" x14ac:dyDescent="0.25">
      <c r="M747">
        <v>710</v>
      </c>
      <c r="N747">
        <v>9492.2412674571406</v>
      </c>
    </row>
    <row r="748" spans="13:14" x14ac:dyDescent="0.25">
      <c r="M748">
        <v>711</v>
      </c>
      <c r="N748">
        <v>15010.66840631549</v>
      </c>
    </row>
    <row r="749" spans="13:14" x14ac:dyDescent="0.25">
      <c r="M749">
        <v>712</v>
      </c>
      <c r="N749">
        <v>12803.291180258688</v>
      </c>
    </row>
    <row r="750" spans="13:14" x14ac:dyDescent="0.25">
      <c r="M750">
        <v>713</v>
      </c>
      <c r="N750">
        <v>16746.672324697698</v>
      </c>
    </row>
    <row r="751" spans="13:14" x14ac:dyDescent="0.25">
      <c r="M751">
        <v>714</v>
      </c>
      <c r="N751">
        <v>14097.104658726361</v>
      </c>
    </row>
    <row r="752" spans="13:14" x14ac:dyDescent="0.25">
      <c r="M752">
        <v>715</v>
      </c>
      <c r="N752">
        <v>16934.892843546826</v>
      </c>
    </row>
    <row r="753" spans="13:14" x14ac:dyDescent="0.25">
      <c r="M753">
        <v>716</v>
      </c>
      <c r="N753">
        <v>13868.700438950595</v>
      </c>
    </row>
    <row r="754" spans="13:14" x14ac:dyDescent="0.25">
      <c r="M754">
        <v>717</v>
      </c>
      <c r="N754">
        <v>8806.313700881492</v>
      </c>
    </row>
    <row r="755" spans="13:14" x14ac:dyDescent="0.25">
      <c r="M755">
        <v>718</v>
      </c>
      <c r="N755">
        <v>32431.208793692356</v>
      </c>
    </row>
    <row r="756" spans="13:14" x14ac:dyDescent="0.25">
      <c r="M756">
        <v>719</v>
      </c>
      <c r="N756">
        <v>15297.074086336754</v>
      </c>
    </row>
    <row r="757" spans="13:14" x14ac:dyDescent="0.25">
      <c r="M757">
        <v>720</v>
      </c>
      <c r="N757">
        <v>10363.267941613805</v>
      </c>
    </row>
    <row r="758" spans="13:14" x14ac:dyDescent="0.25">
      <c r="M758">
        <v>721</v>
      </c>
      <c r="N758">
        <v>21792.898139892197</v>
      </c>
    </row>
    <row r="759" spans="13:14" x14ac:dyDescent="0.25">
      <c r="M759">
        <v>722</v>
      </c>
      <c r="N759">
        <v>10512.977027231929</v>
      </c>
    </row>
    <row r="760" spans="13:14" x14ac:dyDescent="0.25">
      <c r="M760">
        <v>723</v>
      </c>
      <c r="N760">
        <v>17268.637817923427</v>
      </c>
    </row>
    <row r="761" spans="13:14" x14ac:dyDescent="0.25">
      <c r="M761">
        <v>724</v>
      </c>
      <c r="N761">
        <v>18908.119826856022</v>
      </c>
    </row>
    <row r="762" spans="13:14" x14ac:dyDescent="0.25">
      <c r="M762">
        <v>725</v>
      </c>
      <c r="N762">
        <v>11933.333466481043</v>
      </c>
    </row>
    <row r="763" spans="13:14" x14ac:dyDescent="0.25">
      <c r="M763">
        <v>726</v>
      </c>
      <c r="N763">
        <v>39215.358643292006</v>
      </c>
    </row>
    <row r="764" spans="13:14" x14ac:dyDescent="0.25">
      <c r="M764">
        <v>727</v>
      </c>
      <c r="N764">
        <v>18034.762598685753</v>
      </c>
    </row>
    <row r="765" spans="13:14" x14ac:dyDescent="0.25">
      <c r="M765">
        <v>728</v>
      </c>
      <c r="N765">
        <v>8386.2565544737117</v>
      </c>
    </row>
    <row r="766" spans="13:14" x14ac:dyDescent="0.25">
      <c r="M766">
        <v>729</v>
      </c>
      <c r="N766">
        <v>26619.125227734978</v>
      </c>
    </row>
    <row r="767" spans="13:14" x14ac:dyDescent="0.25">
      <c r="M767">
        <v>730</v>
      </c>
      <c r="N767">
        <v>22541.718445710387</v>
      </c>
    </row>
    <row r="768" spans="13:14" x14ac:dyDescent="0.25">
      <c r="M768">
        <v>731</v>
      </c>
      <c r="N768">
        <v>24033.672328881683</v>
      </c>
    </row>
    <row r="769" spans="13:14" x14ac:dyDescent="0.25">
      <c r="M769">
        <v>732</v>
      </c>
      <c r="N769">
        <v>13600.418698363534</v>
      </c>
    </row>
    <row r="770" spans="13:14" x14ac:dyDescent="0.25">
      <c r="M770">
        <v>733</v>
      </c>
      <c r="N770">
        <v>11386.200039934574</v>
      </c>
    </row>
    <row r="771" spans="13:14" x14ac:dyDescent="0.25">
      <c r="M771">
        <v>734</v>
      </c>
      <c r="N771">
        <v>10814.65325232231</v>
      </c>
    </row>
    <row r="772" spans="13:14" x14ac:dyDescent="0.25">
      <c r="M772">
        <v>735</v>
      </c>
      <c r="N772">
        <v>28840.535972415957</v>
      </c>
    </row>
    <row r="773" spans="13:14" x14ac:dyDescent="0.25">
      <c r="M773">
        <v>736</v>
      </c>
      <c r="N773">
        <v>12873.386175562591</v>
      </c>
    </row>
    <row r="774" spans="13:14" x14ac:dyDescent="0.25">
      <c r="M774">
        <v>737</v>
      </c>
      <c r="N774">
        <v>20589.002384634783</v>
      </c>
    </row>
    <row r="775" spans="13:14" x14ac:dyDescent="0.25">
      <c r="M775">
        <v>738</v>
      </c>
      <c r="N775">
        <v>10913.660451289001</v>
      </c>
    </row>
    <row r="776" spans="13:14" x14ac:dyDescent="0.25">
      <c r="M776">
        <v>739</v>
      </c>
      <c r="N776">
        <v>28944.692803632031</v>
      </c>
    </row>
    <row r="777" spans="13:14" x14ac:dyDescent="0.25">
      <c r="M777">
        <v>740</v>
      </c>
      <c r="N777">
        <v>12610.68049407491</v>
      </c>
    </row>
    <row r="778" spans="13:14" x14ac:dyDescent="0.25">
      <c r="M778">
        <v>741</v>
      </c>
      <c r="N778">
        <v>16925.603364139606</v>
      </c>
    </row>
    <row r="779" spans="13:14" x14ac:dyDescent="0.25">
      <c r="M779">
        <v>742</v>
      </c>
      <c r="N779">
        <v>12019.715197699585</v>
      </c>
    </row>
    <row r="780" spans="13:14" x14ac:dyDescent="0.25">
      <c r="M780">
        <v>743</v>
      </c>
      <c r="N780">
        <v>11252.678304021203</v>
      </c>
    </row>
    <row r="781" spans="13:14" x14ac:dyDescent="0.25">
      <c r="M781">
        <v>744</v>
      </c>
      <c r="N781">
        <v>18816.1910448079</v>
      </c>
    </row>
    <row r="782" spans="13:14" x14ac:dyDescent="0.25">
      <c r="M782">
        <v>745</v>
      </c>
      <c r="N782">
        <v>15962.73928282228</v>
      </c>
    </row>
    <row r="783" spans="13:14" x14ac:dyDescent="0.25">
      <c r="M783">
        <v>746</v>
      </c>
      <c r="N783">
        <v>14007.371070642143</v>
      </c>
    </row>
    <row r="784" spans="13:14" x14ac:dyDescent="0.25">
      <c r="M784">
        <v>747</v>
      </c>
      <c r="N784">
        <v>20677.318341185775</v>
      </c>
    </row>
    <row r="785" spans="13:14" x14ac:dyDescent="0.25">
      <c r="M785">
        <v>748</v>
      </c>
      <c r="N785">
        <v>13222.535596700232</v>
      </c>
    </row>
    <row r="786" spans="13:14" x14ac:dyDescent="0.25">
      <c r="M786">
        <v>749</v>
      </c>
      <c r="N786">
        <v>9518.0717923092125</v>
      </c>
    </row>
    <row r="787" spans="13:14" x14ac:dyDescent="0.25">
      <c r="M787">
        <v>750</v>
      </c>
      <c r="N787">
        <v>18959.652787952225</v>
      </c>
    </row>
    <row r="788" spans="13:14" x14ac:dyDescent="0.25">
      <c r="M788">
        <v>751</v>
      </c>
      <c r="N788">
        <v>21193.103050897083</v>
      </c>
    </row>
    <row r="789" spans="13:14" x14ac:dyDescent="0.25">
      <c r="M789">
        <v>752</v>
      </c>
      <c r="N789">
        <v>9652.7734290073404</v>
      </c>
    </row>
    <row r="790" spans="13:14" x14ac:dyDescent="0.25">
      <c r="M790">
        <v>753</v>
      </c>
      <c r="N790">
        <v>18682.935301964058</v>
      </c>
    </row>
    <row r="791" spans="13:14" x14ac:dyDescent="0.25">
      <c r="M791">
        <v>754</v>
      </c>
      <c r="N791">
        <v>11324.181707609725</v>
      </c>
    </row>
    <row r="792" spans="13:14" x14ac:dyDescent="0.25">
      <c r="M792">
        <v>755</v>
      </c>
      <c r="N792">
        <v>18260.376341664323</v>
      </c>
    </row>
    <row r="793" spans="13:14" x14ac:dyDescent="0.25">
      <c r="M793">
        <v>756</v>
      </c>
      <c r="N793">
        <v>18581.326592697573</v>
      </c>
    </row>
    <row r="794" spans="13:14" x14ac:dyDescent="0.25">
      <c r="M794">
        <v>757</v>
      </c>
      <c r="N794">
        <v>16144.015275218955</v>
      </c>
    </row>
    <row r="795" spans="13:14" x14ac:dyDescent="0.25">
      <c r="M795">
        <v>758</v>
      </c>
      <c r="N795">
        <v>12803.036999061134</v>
      </c>
    </row>
    <row r="796" spans="13:14" x14ac:dyDescent="0.25">
      <c r="M796">
        <v>759</v>
      </c>
      <c r="N796">
        <v>12815.104284952864</v>
      </c>
    </row>
    <row r="797" spans="13:14" x14ac:dyDescent="0.25">
      <c r="M797">
        <v>760</v>
      </c>
      <c r="N797">
        <v>9660.0057959583919</v>
      </c>
    </row>
    <row r="798" spans="13:14" x14ac:dyDescent="0.25">
      <c r="M798">
        <v>761</v>
      </c>
      <c r="N798">
        <v>20478.107619622417</v>
      </c>
    </row>
    <row r="799" spans="13:14" x14ac:dyDescent="0.25">
      <c r="M799">
        <v>762</v>
      </c>
      <c r="N799">
        <v>25995.234635166526</v>
      </c>
    </row>
    <row r="800" spans="13:14" x14ac:dyDescent="0.25">
      <c r="M800">
        <v>763</v>
      </c>
      <c r="N800">
        <v>10210.789260823345</v>
      </c>
    </row>
    <row r="801" spans="13:14" x14ac:dyDescent="0.25">
      <c r="M801">
        <v>764</v>
      </c>
      <c r="N801">
        <v>20312.909773313204</v>
      </c>
    </row>
    <row r="802" spans="13:14" x14ac:dyDescent="0.25">
      <c r="M802">
        <v>765</v>
      </c>
      <c r="N802">
        <v>11182.532890755656</v>
      </c>
    </row>
    <row r="803" spans="13:14" x14ac:dyDescent="0.25">
      <c r="M803">
        <v>766</v>
      </c>
      <c r="N803">
        <v>19605.239863518953</v>
      </c>
    </row>
    <row r="804" spans="13:14" x14ac:dyDescent="0.25">
      <c r="M804">
        <v>767</v>
      </c>
      <c r="N804">
        <v>12247.074801467274</v>
      </c>
    </row>
    <row r="805" spans="13:14" x14ac:dyDescent="0.25">
      <c r="M805">
        <v>768</v>
      </c>
      <c r="N805">
        <v>9630.3319999739178</v>
      </c>
    </row>
    <row r="806" spans="13:14" x14ac:dyDescent="0.25">
      <c r="M806">
        <v>769</v>
      </c>
      <c r="N806">
        <v>20103.729331796232</v>
      </c>
    </row>
    <row r="807" spans="13:14" x14ac:dyDescent="0.25">
      <c r="M807">
        <v>770</v>
      </c>
      <c r="N807">
        <v>10434.03291705103</v>
      </c>
    </row>
    <row r="808" spans="13:14" x14ac:dyDescent="0.25">
      <c r="M808">
        <v>771</v>
      </c>
      <c r="N808">
        <v>9864.6089689145992</v>
      </c>
    </row>
    <row r="809" spans="13:14" x14ac:dyDescent="0.25">
      <c r="M809">
        <v>772</v>
      </c>
      <c r="N809">
        <v>25544.126912658245</v>
      </c>
    </row>
    <row r="810" spans="13:14" x14ac:dyDescent="0.25">
      <c r="M810">
        <v>773</v>
      </c>
      <c r="N810">
        <v>14939.041049175938</v>
      </c>
    </row>
    <row r="811" spans="13:14" x14ac:dyDescent="0.25">
      <c r="M811">
        <v>774</v>
      </c>
      <c r="N811">
        <v>12780.889933523056</v>
      </c>
    </row>
    <row r="812" spans="13:14" x14ac:dyDescent="0.25">
      <c r="M812">
        <v>775</v>
      </c>
      <c r="N812">
        <v>22034.004143975966</v>
      </c>
    </row>
    <row r="813" spans="13:14" x14ac:dyDescent="0.25">
      <c r="M813">
        <v>776</v>
      </c>
      <c r="N813">
        <v>14420.275809437473</v>
      </c>
    </row>
    <row r="814" spans="13:14" x14ac:dyDescent="0.25">
      <c r="M814">
        <v>777</v>
      </c>
      <c r="N814">
        <v>8985.7189497087766</v>
      </c>
    </row>
    <row r="815" spans="13:14" x14ac:dyDescent="0.25">
      <c r="M815">
        <v>778</v>
      </c>
      <c r="N815">
        <v>15289.902217327599</v>
      </c>
    </row>
    <row r="816" spans="13:14" x14ac:dyDescent="0.25">
      <c r="M816">
        <v>779</v>
      </c>
      <c r="N816">
        <v>20776.809581556761</v>
      </c>
    </row>
    <row r="817" spans="13:14" x14ac:dyDescent="0.25">
      <c r="M817">
        <v>780</v>
      </c>
      <c r="N817">
        <v>13998.484357624058</v>
      </c>
    </row>
    <row r="818" spans="13:14" x14ac:dyDescent="0.25">
      <c r="M818">
        <v>781</v>
      </c>
      <c r="N818">
        <v>11191.33553842119</v>
      </c>
    </row>
    <row r="819" spans="13:14" x14ac:dyDescent="0.25">
      <c r="M819">
        <v>782</v>
      </c>
      <c r="N819">
        <v>14159.123796485621</v>
      </c>
    </row>
    <row r="820" spans="13:14" x14ac:dyDescent="0.25">
      <c r="M820">
        <v>783</v>
      </c>
      <c r="N820">
        <v>12946.622894777582</v>
      </c>
    </row>
    <row r="821" spans="13:14" x14ac:dyDescent="0.25">
      <c r="M821">
        <v>784</v>
      </c>
      <c r="N821">
        <v>26482.736842543243</v>
      </c>
    </row>
    <row r="822" spans="13:14" x14ac:dyDescent="0.25">
      <c r="M822">
        <v>785</v>
      </c>
      <c r="N822">
        <v>15584.425902798313</v>
      </c>
    </row>
    <row r="823" spans="13:14" x14ac:dyDescent="0.25">
      <c r="M823">
        <v>786</v>
      </c>
      <c r="N823">
        <v>13908.072249635465</v>
      </c>
    </row>
    <row r="824" spans="13:14" x14ac:dyDescent="0.25">
      <c r="M824">
        <v>787</v>
      </c>
      <c r="N824">
        <v>13930.088530927926</v>
      </c>
    </row>
    <row r="825" spans="13:14" x14ac:dyDescent="0.25">
      <c r="M825">
        <v>788</v>
      </c>
      <c r="N825">
        <v>12118.035859671076</v>
      </c>
    </row>
    <row r="826" spans="13:14" x14ac:dyDescent="0.25">
      <c r="M826">
        <v>789</v>
      </c>
      <c r="N826">
        <v>10758.040399842494</v>
      </c>
    </row>
    <row r="827" spans="13:14" x14ac:dyDescent="0.25">
      <c r="M827">
        <v>790</v>
      </c>
      <c r="N827">
        <v>11802.097214553196</v>
      </c>
    </row>
    <row r="828" spans="13:14" x14ac:dyDescent="0.25">
      <c r="M828">
        <v>791</v>
      </c>
      <c r="N828">
        <v>15772.232703612694</v>
      </c>
    </row>
    <row r="829" spans="13:14" x14ac:dyDescent="0.25">
      <c r="M829">
        <v>792</v>
      </c>
      <c r="N829">
        <v>12970.175974915448</v>
      </c>
    </row>
    <row r="830" spans="13:14" x14ac:dyDescent="0.25">
      <c r="M830">
        <v>793</v>
      </c>
      <c r="N830">
        <v>12630.291527762203</v>
      </c>
    </row>
    <row r="831" spans="13:14" x14ac:dyDescent="0.25">
      <c r="M831">
        <v>794</v>
      </c>
      <c r="N831">
        <v>10587.608541737507</v>
      </c>
    </row>
    <row r="832" spans="13:14" x14ac:dyDescent="0.25">
      <c r="M832">
        <v>795</v>
      </c>
      <c r="N832">
        <v>10523.565972904955</v>
      </c>
    </row>
    <row r="833" spans="13:14" x14ac:dyDescent="0.25">
      <c r="M833">
        <v>796</v>
      </c>
      <c r="N833">
        <v>16805.164310585136</v>
      </c>
    </row>
    <row r="834" spans="13:14" x14ac:dyDescent="0.25">
      <c r="M834">
        <v>797</v>
      </c>
      <c r="N834">
        <v>17920.763584936998</v>
      </c>
    </row>
    <row r="835" spans="13:14" x14ac:dyDescent="0.25">
      <c r="M835">
        <v>798</v>
      </c>
      <c r="N835">
        <v>10691.461517148931</v>
      </c>
    </row>
    <row r="836" spans="13:14" x14ac:dyDescent="0.25">
      <c r="M836">
        <v>799</v>
      </c>
      <c r="N836">
        <v>18620.221582825096</v>
      </c>
    </row>
    <row r="837" spans="13:14" x14ac:dyDescent="0.25">
      <c r="M837">
        <v>800</v>
      </c>
      <c r="N837">
        <v>12077.748325035536</v>
      </c>
    </row>
    <row r="838" spans="13:14" x14ac:dyDescent="0.25">
      <c r="M838">
        <v>801</v>
      </c>
      <c r="N838">
        <v>11505.250129236192</v>
      </c>
    </row>
    <row r="839" spans="13:14" x14ac:dyDescent="0.25">
      <c r="M839">
        <v>802</v>
      </c>
      <c r="N839">
        <v>11960.514152258938</v>
      </c>
    </row>
    <row r="840" spans="13:14" x14ac:dyDescent="0.25">
      <c r="M840">
        <v>803</v>
      </c>
      <c r="N840">
        <v>24073.104651237714</v>
      </c>
    </row>
    <row r="841" spans="13:14" x14ac:dyDescent="0.25">
      <c r="M841">
        <v>804</v>
      </c>
      <c r="N841">
        <v>17974.35721372124</v>
      </c>
    </row>
    <row r="842" spans="13:14" x14ac:dyDescent="0.25">
      <c r="M842">
        <v>805</v>
      </c>
      <c r="N842">
        <v>18361.279605343392</v>
      </c>
    </row>
    <row r="843" spans="13:14" x14ac:dyDescent="0.25">
      <c r="M843">
        <v>806</v>
      </c>
      <c r="N843">
        <v>11786.89427886038</v>
      </c>
    </row>
    <row r="844" spans="13:14" x14ac:dyDescent="0.25">
      <c r="M844">
        <v>807</v>
      </c>
      <c r="N844">
        <v>8773.219576777512</v>
      </c>
    </row>
    <row r="845" spans="13:14" x14ac:dyDescent="0.25">
      <c r="M845">
        <v>808</v>
      </c>
      <c r="N845">
        <v>11614.582368902888</v>
      </c>
    </row>
    <row r="846" spans="13:14" x14ac:dyDescent="0.25">
      <c r="M846">
        <v>809</v>
      </c>
      <c r="N846">
        <v>11210.405030009744</v>
      </c>
    </row>
    <row r="847" spans="13:14" x14ac:dyDescent="0.25">
      <c r="M847">
        <v>810</v>
      </c>
      <c r="N847">
        <v>14496.005807426734</v>
      </c>
    </row>
    <row r="848" spans="13:14" x14ac:dyDescent="0.25">
      <c r="M848">
        <v>811</v>
      </c>
      <c r="N848">
        <v>11209.776322544447</v>
      </c>
    </row>
    <row r="849" spans="13:14" x14ac:dyDescent="0.25">
      <c r="M849">
        <v>812</v>
      </c>
      <c r="N849">
        <v>15087.341467917367</v>
      </c>
    </row>
    <row r="850" spans="13:14" x14ac:dyDescent="0.25">
      <c r="M850">
        <v>813</v>
      </c>
      <c r="N850">
        <v>10217.012519668066</v>
      </c>
    </row>
    <row r="851" spans="13:14" x14ac:dyDescent="0.25">
      <c r="M851">
        <v>814</v>
      </c>
      <c r="N851">
        <v>17609.77472879579</v>
      </c>
    </row>
    <row r="852" spans="13:14" x14ac:dyDescent="0.25">
      <c r="M852">
        <v>815</v>
      </c>
      <c r="N852">
        <v>12273.75816412962</v>
      </c>
    </row>
    <row r="853" spans="13:14" x14ac:dyDescent="0.25">
      <c r="M853">
        <v>816</v>
      </c>
      <c r="N853">
        <v>14027.850157426707</v>
      </c>
    </row>
    <row r="854" spans="13:14" x14ac:dyDescent="0.25">
      <c r="M854">
        <v>817</v>
      </c>
      <c r="N854">
        <v>11704.995363283393</v>
      </c>
    </row>
    <row r="855" spans="13:14" x14ac:dyDescent="0.25">
      <c r="M855">
        <v>818</v>
      </c>
      <c r="N855">
        <v>14834.009745149557</v>
      </c>
    </row>
    <row r="856" spans="13:14" x14ac:dyDescent="0.25">
      <c r="M856">
        <v>819</v>
      </c>
      <c r="N856">
        <v>27177.155663466117</v>
      </c>
    </row>
    <row r="857" spans="13:14" x14ac:dyDescent="0.25">
      <c r="M857">
        <v>820</v>
      </c>
      <c r="N857">
        <v>19896.210912460869</v>
      </c>
    </row>
    <row r="858" spans="13:14" x14ac:dyDescent="0.25">
      <c r="M858">
        <v>821</v>
      </c>
      <c r="N858">
        <v>17776.651893698581</v>
      </c>
    </row>
    <row r="859" spans="13:14" x14ac:dyDescent="0.25">
      <c r="M859">
        <v>822</v>
      </c>
      <c r="N859">
        <v>12456.133604692694</v>
      </c>
    </row>
    <row r="860" spans="13:14" x14ac:dyDescent="0.25">
      <c r="M860">
        <v>823</v>
      </c>
      <c r="N860">
        <v>16919.156366839015</v>
      </c>
    </row>
    <row r="861" spans="13:14" x14ac:dyDescent="0.25">
      <c r="M861">
        <v>824</v>
      </c>
      <c r="N861">
        <v>18153.666414332554</v>
      </c>
    </row>
    <row r="862" spans="13:14" x14ac:dyDescent="0.25">
      <c r="M862">
        <v>825</v>
      </c>
      <c r="N862">
        <v>15186.909823123529</v>
      </c>
    </row>
    <row r="863" spans="13:14" x14ac:dyDescent="0.25">
      <c r="M863">
        <v>826</v>
      </c>
      <c r="N863">
        <v>11663.38686231988</v>
      </c>
    </row>
    <row r="864" spans="13:14" x14ac:dyDescent="0.25">
      <c r="M864">
        <v>827</v>
      </c>
      <c r="N864">
        <v>12056.058140668883</v>
      </c>
    </row>
    <row r="865" spans="13:14" x14ac:dyDescent="0.25">
      <c r="M865">
        <v>828</v>
      </c>
      <c r="N865">
        <v>12483.402679174516</v>
      </c>
    </row>
    <row r="866" spans="13:14" x14ac:dyDescent="0.25">
      <c r="M866">
        <v>829</v>
      </c>
      <c r="N866">
        <v>20253.749977921878</v>
      </c>
    </row>
    <row r="867" spans="13:14" x14ac:dyDescent="0.25">
      <c r="M867">
        <v>830</v>
      </c>
      <c r="N867">
        <v>20206.238008994857</v>
      </c>
    </row>
    <row r="868" spans="13:14" x14ac:dyDescent="0.25">
      <c r="M868">
        <v>831</v>
      </c>
      <c r="N868">
        <v>8541.9368022154813</v>
      </c>
    </row>
    <row r="869" spans="13:14" x14ac:dyDescent="0.25">
      <c r="M869">
        <v>832</v>
      </c>
      <c r="N869">
        <v>12350.988858184774</v>
      </c>
    </row>
    <row r="870" spans="13:14" x14ac:dyDescent="0.25">
      <c r="M870">
        <v>833</v>
      </c>
      <c r="N870">
        <v>10189.417398721858</v>
      </c>
    </row>
    <row r="871" spans="13:14" x14ac:dyDescent="0.25">
      <c r="M871">
        <v>834</v>
      </c>
      <c r="N871">
        <v>23808.304682216531</v>
      </c>
    </row>
    <row r="872" spans="13:14" x14ac:dyDescent="0.25">
      <c r="M872">
        <v>835</v>
      </c>
      <c r="N872">
        <v>11477.498177494903</v>
      </c>
    </row>
    <row r="873" spans="13:14" x14ac:dyDescent="0.25">
      <c r="M873">
        <v>836</v>
      </c>
      <c r="N873">
        <v>13901.220221478525</v>
      </c>
    </row>
    <row r="874" spans="13:14" x14ac:dyDescent="0.25">
      <c r="M874">
        <v>837</v>
      </c>
      <c r="N874">
        <v>11597.300813379668</v>
      </c>
    </row>
    <row r="875" spans="13:14" x14ac:dyDescent="0.25">
      <c r="M875">
        <v>838</v>
      </c>
      <c r="N875">
        <v>12010.213402822876</v>
      </c>
    </row>
    <row r="876" spans="13:14" x14ac:dyDescent="0.25">
      <c r="M876">
        <v>839</v>
      </c>
      <c r="N876">
        <v>13008.406928528148</v>
      </c>
    </row>
    <row r="877" spans="13:14" x14ac:dyDescent="0.25">
      <c r="M877">
        <v>840</v>
      </c>
      <c r="N877">
        <v>10567.77857956994</v>
      </c>
    </row>
    <row r="878" spans="13:14" x14ac:dyDescent="0.25">
      <c r="M878">
        <v>841</v>
      </c>
      <c r="N878">
        <v>12308.71006560688</v>
      </c>
    </row>
    <row r="879" spans="13:14" x14ac:dyDescent="0.25">
      <c r="M879">
        <v>842</v>
      </c>
      <c r="N879">
        <v>15284.835531669214</v>
      </c>
    </row>
    <row r="880" spans="13:14" x14ac:dyDescent="0.25">
      <c r="M880">
        <v>843</v>
      </c>
      <c r="N880">
        <v>14200.026330811961</v>
      </c>
    </row>
    <row r="881" spans="13:14" x14ac:dyDescent="0.25">
      <c r="M881">
        <v>844</v>
      </c>
      <c r="N881">
        <v>12872.944787014581</v>
      </c>
    </row>
    <row r="882" spans="13:14" x14ac:dyDescent="0.25">
      <c r="M882">
        <v>845</v>
      </c>
      <c r="N882">
        <v>55306.927410182994</v>
      </c>
    </row>
    <row r="883" spans="13:14" x14ac:dyDescent="0.25">
      <c r="M883">
        <v>846</v>
      </c>
      <c r="N883">
        <v>11824.039932502039</v>
      </c>
    </row>
    <row r="884" spans="13:14" x14ac:dyDescent="0.25">
      <c r="M884">
        <v>847</v>
      </c>
      <c r="N884">
        <v>18060.752719395194</v>
      </c>
    </row>
    <row r="885" spans="13:14" x14ac:dyDescent="0.25">
      <c r="M885">
        <v>848</v>
      </c>
      <c r="N885">
        <v>17137.383955350422</v>
      </c>
    </row>
    <row r="886" spans="13:14" x14ac:dyDescent="0.25">
      <c r="M886">
        <v>849</v>
      </c>
      <c r="N886">
        <v>11467.469079962657</v>
      </c>
    </row>
    <row r="887" spans="13:14" x14ac:dyDescent="0.25">
      <c r="M887">
        <v>850</v>
      </c>
      <c r="N887">
        <v>9252.0335782749862</v>
      </c>
    </row>
    <row r="888" spans="13:14" x14ac:dyDescent="0.25">
      <c r="M888">
        <v>851</v>
      </c>
      <c r="N888">
        <v>18694.054710139637</v>
      </c>
    </row>
    <row r="889" spans="13:14" x14ac:dyDescent="0.25">
      <c r="M889">
        <v>852</v>
      </c>
      <c r="N889">
        <v>17074.889391010154</v>
      </c>
    </row>
    <row r="890" spans="13:14" x14ac:dyDescent="0.25">
      <c r="M890">
        <v>853</v>
      </c>
      <c r="N890">
        <v>21240.22769333814</v>
      </c>
    </row>
    <row r="891" spans="13:14" x14ac:dyDescent="0.25">
      <c r="M891">
        <v>854</v>
      </c>
      <c r="N891">
        <v>10108.551284125209</v>
      </c>
    </row>
    <row r="892" spans="13:14" x14ac:dyDescent="0.25">
      <c r="M892">
        <v>855</v>
      </c>
      <c r="N892">
        <v>14912.753858010321</v>
      </c>
    </row>
    <row r="893" spans="13:14" x14ac:dyDescent="0.25">
      <c r="M893">
        <v>856</v>
      </c>
      <c r="N893">
        <v>17246.204861051658</v>
      </c>
    </row>
    <row r="894" spans="13:14" x14ac:dyDescent="0.25">
      <c r="M894">
        <v>857</v>
      </c>
      <c r="N894">
        <v>14748.278129583665</v>
      </c>
    </row>
    <row r="895" spans="13:14" x14ac:dyDescent="0.25">
      <c r="M895">
        <v>858</v>
      </c>
      <c r="N895">
        <v>14650.108548310818</v>
      </c>
    </row>
    <row r="896" spans="13:14" x14ac:dyDescent="0.25">
      <c r="M896">
        <v>859</v>
      </c>
      <c r="N896">
        <v>24901.801075296171</v>
      </c>
    </row>
    <row r="897" spans="13:14" x14ac:dyDescent="0.25">
      <c r="M897">
        <v>860</v>
      </c>
      <c r="N897">
        <v>16670.59495674706</v>
      </c>
    </row>
    <row r="898" spans="13:14" x14ac:dyDescent="0.25">
      <c r="M898">
        <v>861</v>
      </c>
      <c r="N898">
        <v>14248.516367771994</v>
      </c>
    </row>
    <row r="899" spans="13:14" x14ac:dyDescent="0.25">
      <c r="M899">
        <v>862</v>
      </c>
      <c r="N899">
        <v>16965.197798592988</v>
      </c>
    </row>
    <row r="900" spans="13:14" x14ac:dyDescent="0.25">
      <c r="M900">
        <v>863</v>
      </c>
      <c r="N900">
        <v>10025.666339521209</v>
      </c>
    </row>
    <row r="901" spans="13:14" x14ac:dyDescent="0.25">
      <c r="M901">
        <v>864</v>
      </c>
      <c r="N901">
        <v>14068.623704138343</v>
      </c>
    </row>
    <row r="902" spans="13:14" x14ac:dyDescent="0.25">
      <c r="M902">
        <v>865</v>
      </c>
      <c r="N902">
        <v>12984.177224939736</v>
      </c>
    </row>
    <row r="903" spans="13:14" x14ac:dyDescent="0.25">
      <c r="M903">
        <v>866</v>
      </c>
      <c r="N903">
        <v>11026.205251060606</v>
      </c>
    </row>
    <row r="904" spans="13:14" x14ac:dyDescent="0.25">
      <c r="M904">
        <v>867</v>
      </c>
      <c r="N904">
        <v>15968.811234398063</v>
      </c>
    </row>
    <row r="905" spans="13:14" x14ac:dyDescent="0.25">
      <c r="M905">
        <v>868</v>
      </c>
      <c r="N905">
        <v>18456.527910754849</v>
      </c>
    </row>
    <row r="906" spans="13:14" x14ac:dyDescent="0.25">
      <c r="M906">
        <v>869</v>
      </c>
      <c r="N906">
        <v>11002.745582096382</v>
      </c>
    </row>
    <row r="907" spans="13:14" x14ac:dyDescent="0.25">
      <c r="M907">
        <v>870</v>
      </c>
      <c r="N907">
        <v>12714.388618020377</v>
      </c>
    </row>
    <row r="908" spans="13:14" x14ac:dyDescent="0.25">
      <c r="M908">
        <v>871</v>
      </c>
      <c r="N908">
        <v>11731.648527460158</v>
      </c>
    </row>
    <row r="909" spans="13:14" x14ac:dyDescent="0.25">
      <c r="M909">
        <v>872</v>
      </c>
      <c r="N909">
        <v>12189.443871895008</v>
      </c>
    </row>
    <row r="910" spans="13:14" x14ac:dyDescent="0.25">
      <c r="M910">
        <v>873</v>
      </c>
      <c r="N910">
        <v>11090.817336738679</v>
      </c>
    </row>
    <row r="911" spans="13:14" x14ac:dyDescent="0.25">
      <c r="M911">
        <v>874</v>
      </c>
      <c r="N911">
        <v>12319.388513869584</v>
      </c>
    </row>
    <row r="912" spans="13:14" x14ac:dyDescent="0.25">
      <c r="M912">
        <v>875</v>
      </c>
      <c r="N912">
        <v>13134.906706398911</v>
      </c>
    </row>
    <row r="913" spans="13:14" x14ac:dyDescent="0.25">
      <c r="M913">
        <v>876</v>
      </c>
      <c r="N913">
        <v>10201.956973252993</v>
      </c>
    </row>
    <row r="914" spans="13:14" x14ac:dyDescent="0.25">
      <c r="M914">
        <v>877</v>
      </c>
      <c r="N914">
        <v>11104.278641564062</v>
      </c>
    </row>
    <row r="915" spans="13:14" x14ac:dyDescent="0.25">
      <c r="M915">
        <v>878</v>
      </c>
      <c r="N915">
        <v>14906.820520069541</v>
      </c>
    </row>
    <row r="916" spans="13:14" x14ac:dyDescent="0.25">
      <c r="M916">
        <v>879</v>
      </c>
      <c r="N916">
        <v>12474.594938867138</v>
      </c>
    </row>
    <row r="917" spans="13:14" x14ac:dyDescent="0.25">
      <c r="M917">
        <v>880</v>
      </c>
      <c r="N917">
        <v>15356.63310887857</v>
      </c>
    </row>
    <row r="918" spans="13:14" x14ac:dyDescent="0.25">
      <c r="M918">
        <v>881</v>
      </c>
      <c r="N918">
        <v>10244.826891894136</v>
      </c>
    </row>
    <row r="919" spans="13:14" x14ac:dyDescent="0.25">
      <c r="M919">
        <v>882</v>
      </c>
      <c r="N919">
        <v>16239.174233836358</v>
      </c>
    </row>
    <row r="920" spans="13:14" x14ac:dyDescent="0.25">
      <c r="M920">
        <v>883</v>
      </c>
      <c r="N920">
        <v>14222.33192049527</v>
      </c>
    </row>
    <row r="921" spans="13:14" x14ac:dyDescent="0.25">
      <c r="M921">
        <v>884</v>
      </c>
      <c r="N921">
        <v>12937.273297759553</v>
      </c>
    </row>
    <row r="922" spans="13:14" x14ac:dyDescent="0.25">
      <c r="M922">
        <v>885</v>
      </c>
      <c r="N922">
        <v>22539.774653271445</v>
      </c>
    </row>
    <row r="923" spans="13:14" x14ac:dyDescent="0.25">
      <c r="M923">
        <v>886</v>
      </c>
      <c r="N923">
        <v>11338.686269916223</v>
      </c>
    </row>
    <row r="924" spans="13:14" x14ac:dyDescent="0.25">
      <c r="M924">
        <v>887</v>
      </c>
      <c r="N924">
        <v>18482.389427665054</v>
      </c>
    </row>
    <row r="925" spans="13:14" x14ac:dyDescent="0.25">
      <c r="M925">
        <v>888</v>
      </c>
      <c r="N925">
        <v>15132.206556329291</v>
      </c>
    </row>
    <row r="926" spans="13:14" x14ac:dyDescent="0.25">
      <c r="M926">
        <v>889</v>
      </c>
      <c r="N926">
        <v>15268.995850431278</v>
      </c>
    </row>
    <row r="927" spans="13:14" x14ac:dyDescent="0.25">
      <c r="M927">
        <v>890</v>
      </c>
      <c r="N927">
        <v>21177.258534996392</v>
      </c>
    </row>
    <row r="928" spans="13:14" x14ac:dyDescent="0.25">
      <c r="M928">
        <v>891</v>
      </c>
      <c r="N928">
        <v>9750.4756242290277</v>
      </c>
    </row>
    <row r="929" spans="13:14" x14ac:dyDescent="0.25">
      <c r="M929">
        <v>892</v>
      </c>
      <c r="N929">
        <v>11891.093456346929</v>
      </c>
    </row>
    <row r="930" spans="13:14" x14ac:dyDescent="0.25">
      <c r="M930">
        <v>893</v>
      </c>
      <c r="N930">
        <v>13756.72810542813</v>
      </c>
    </row>
    <row r="931" spans="13:14" x14ac:dyDescent="0.25">
      <c r="M931">
        <v>894</v>
      </c>
      <c r="N931">
        <v>12392.435870949308</v>
      </c>
    </row>
    <row r="932" spans="13:14" x14ac:dyDescent="0.25">
      <c r="M932">
        <v>895</v>
      </c>
      <c r="N932">
        <v>15809.499830887991</v>
      </c>
    </row>
    <row r="933" spans="13:14" x14ac:dyDescent="0.25">
      <c r="M933">
        <v>896</v>
      </c>
      <c r="N933">
        <v>12006.919205454509</v>
      </c>
    </row>
    <row r="934" spans="13:14" x14ac:dyDescent="0.25">
      <c r="M934">
        <v>897</v>
      </c>
      <c r="N934">
        <v>14951.177155892201</v>
      </c>
    </row>
    <row r="935" spans="13:14" x14ac:dyDescent="0.25">
      <c r="M935">
        <v>898</v>
      </c>
      <c r="N935">
        <v>16704.55905892613</v>
      </c>
    </row>
    <row r="936" spans="13:14" x14ac:dyDescent="0.25">
      <c r="M936">
        <v>899</v>
      </c>
      <c r="N936">
        <v>10573.302296878785</v>
      </c>
    </row>
    <row r="937" spans="13:14" x14ac:dyDescent="0.25">
      <c r="M937">
        <v>900</v>
      </c>
      <c r="N937">
        <v>9948.6704710673839</v>
      </c>
    </row>
    <row r="938" spans="13:14" x14ac:dyDescent="0.25">
      <c r="M938">
        <v>901</v>
      </c>
      <c r="N938">
        <v>12985.647893937172</v>
      </c>
    </row>
    <row r="939" spans="13:14" x14ac:dyDescent="0.25">
      <c r="M939">
        <v>902</v>
      </c>
      <c r="N939">
        <v>12779.230679848137</v>
      </c>
    </row>
    <row r="940" spans="13:14" x14ac:dyDescent="0.25">
      <c r="M940">
        <v>903</v>
      </c>
      <c r="N940">
        <v>11264.257457458089</v>
      </c>
    </row>
    <row r="941" spans="13:14" x14ac:dyDescent="0.25">
      <c r="M941">
        <v>904</v>
      </c>
      <c r="N941">
        <v>16311.446744165383</v>
      </c>
    </row>
    <row r="942" spans="13:14" x14ac:dyDescent="0.25">
      <c r="M942">
        <v>905</v>
      </c>
      <c r="N942">
        <v>11617.012031966025</v>
      </c>
    </row>
    <row r="943" spans="13:14" x14ac:dyDescent="0.25">
      <c r="M943">
        <v>906</v>
      </c>
      <c r="N943">
        <v>16223.442969738862</v>
      </c>
    </row>
    <row r="944" spans="13:14" x14ac:dyDescent="0.25">
      <c r="M944">
        <v>907</v>
      </c>
      <c r="N944">
        <v>12531.860349365814</v>
      </c>
    </row>
    <row r="945" spans="13:14" x14ac:dyDescent="0.25">
      <c r="M945">
        <v>908</v>
      </c>
      <c r="N945">
        <v>14464.009113619657</v>
      </c>
    </row>
    <row r="946" spans="13:14" x14ac:dyDescent="0.25">
      <c r="M946">
        <v>909</v>
      </c>
      <c r="N946">
        <v>11222.844220789299</v>
      </c>
    </row>
    <row r="947" spans="13:14" x14ac:dyDescent="0.25">
      <c r="M947">
        <v>910</v>
      </c>
      <c r="N947">
        <v>17977.342607031864</v>
      </c>
    </row>
    <row r="948" spans="13:14" x14ac:dyDescent="0.25">
      <c r="M948">
        <v>911</v>
      </c>
      <c r="N948">
        <v>14484.436181389712</v>
      </c>
    </row>
    <row r="949" spans="13:14" x14ac:dyDescent="0.25">
      <c r="M949">
        <v>912</v>
      </c>
      <c r="N949">
        <v>15588.575995179748</v>
      </c>
    </row>
    <row r="950" spans="13:14" x14ac:dyDescent="0.25">
      <c r="M950">
        <v>913</v>
      </c>
      <c r="N950">
        <v>16763.221943393739</v>
      </c>
    </row>
    <row r="951" spans="13:14" x14ac:dyDescent="0.25">
      <c r="M951">
        <v>914</v>
      </c>
      <c r="N951">
        <v>15480.862384579952</v>
      </c>
    </row>
    <row r="952" spans="13:14" x14ac:dyDescent="0.25">
      <c r="M952">
        <v>915</v>
      </c>
      <c r="N952">
        <v>16175.442371499068</v>
      </c>
    </row>
    <row r="953" spans="13:14" x14ac:dyDescent="0.25">
      <c r="M953">
        <v>916</v>
      </c>
      <c r="N953">
        <v>14386.151020785817</v>
      </c>
    </row>
    <row r="954" spans="13:14" x14ac:dyDescent="0.25">
      <c r="M954">
        <v>917</v>
      </c>
      <c r="N954">
        <v>12682.22789524588</v>
      </c>
    </row>
    <row r="955" spans="13:14" x14ac:dyDescent="0.25">
      <c r="M955">
        <v>918</v>
      </c>
      <c r="N955">
        <v>16950.394128905958</v>
      </c>
    </row>
    <row r="956" spans="13:14" x14ac:dyDescent="0.25">
      <c r="M956">
        <v>919</v>
      </c>
      <c r="N956">
        <v>15279.834442210537</v>
      </c>
    </row>
    <row r="957" spans="13:14" x14ac:dyDescent="0.25">
      <c r="M957">
        <v>920</v>
      </c>
      <c r="N957">
        <v>14920.39186769005</v>
      </c>
    </row>
    <row r="958" spans="13:14" x14ac:dyDescent="0.25">
      <c r="M958">
        <v>921</v>
      </c>
      <c r="N958">
        <v>11612.441164542088</v>
      </c>
    </row>
    <row r="959" spans="13:14" x14ac:dyDescent="0.25">
      <c r="M959">
        <v>922</v>
      </c>
      <c r="N959">
        <v>39455.871260900727</v>
      </c>
    </row>
    <row r="960" spans="13:14" x14ac:dyDescent="0.25">
      <c r="M960">
        <v>923</v>
      </c>
      <c r="N960">
        <v>13960.952775975135</v>
      </c>
    </row>
    <row r="961" spans="13:14" x14ac:dyDescent="0.25">
      <c r="M961">
        <v>924</v>
      </c>
      <c r="N961">
        <v>13341.13049670072</v>
      </c>
    </row>
    <row r="962" spans="13:14" x14ac:dyDescent="0.25">
      <c r="M962">
        <v>925</v>
      </c>
      <c r="N962">
        <v>12351.297819391908</v>
      </c>
    </row>
    <row r="963" spans="13:14" x14ac:dyDescent="0.25">
      <c r="M963">
        <v>926</v>
      </c>
      <c r="N963">
        <v>14384.857862688952</v>
      </c>
    </row>
    <row r="964" spans="13:14" x14ac:dyDescent="0.25">
      <c r="M964">
        <v>927</v>
      </c>
      <c r="N964">
        <v>20939.629194131754</v>
      </c>
    </row>
    <row r="965" spans="13:14" x14ac:dyDescent="0.25">
      <c r="M965">
        <v>928</v>
      </c>
      <c r="N965">
        <v>12731.7786393565</v>
      </c>
    </row>
    <row r="966" spans="13:14" x14ac:dyDescent="0.25">
      <c r="M966">
        <v>929</v>
      </c>
      <c r="N966">
        <v>16768.447517534965</v>
      </c>
    </row>
    <row r="967" spans="13:14" x14ac:dyDescent="0.25">
      <c r="M967">
        <v>930</v>
      </c>
      <c r="N967">
        <v>35403.822611959418</v>
      </c>
    </row>
    <row r="968" spans="13:14" x14ac:dyDescent="0.25">
      <c r="M968">
        <v>931</v>
      </c>
      <c r="N968">
        <v>13885.497530064564</v>
      </c>
    </row>
    <row r="969" spans="13:14" x14ac:dyDescent="0.25">
      <c r="M969">
        <v>932</v>
      </c>
      <c r="N969">
        <v>25033.641859620926</v>
      </c>
    </row>
    <row r="970" spans="13:14" x14ac:dyDescent="0.25">
      <c r="M970">
        <v>933</v>
      </c>
      <c r="N970">
        <v>13994.335455663686</v>
      </c>
    </row>
    <row r="971" spans="13:14" x14ac:dyDescent="0.25">
      <c r="M971">
        <v>934</v>
      </c>
      <c r="N971">
        <v>11994.289726378805</v>
      </c>
    </row>
    <row r="972" spans="13:14" x14ac:dyDescent="0.25">
      <c r="M972">
        <v>935</v>
      </c>
      <c r="N972">
        <v>9971.9251238461784</v>
      </c>
    </row>
    <row r="973" spans="13:14" x14ac:dyDescent="0.25">
      <c r="M973">
        <v>936</v>
      </c>
      <c r="N973">
        <v>14746.24396306277</v>
      </c>
    </row>
    <row r="974" spans="13:14" x14ac:dyDescent="0.25">
      <c r="M974">
        <v>937</v>
      </c>
      <c r="N974">
        <v>16973.076678569534</v>
      </c>
    </row>
    <row r="975" spans="13:14" x14ac:dyDescent="0.25">
      <c r="M975">
        <v>938</v>
      </c>
      <c r="N975">
        <v>13344.143276025201</v>
      </c>
    </row>
    <row r="976" spans="13:14" x14ac:dyDescent="0.25">
      <c r="M976">
        <v>939</v>
      </c>
      <c r="N976">
        <v>18783.112100487171</v>
      </c>
    </row>
    <row r="977" spans="13:14" x14ac:dyDescent="0.25">
      <c r="M977">
        <v>940</v>
      </c>
      <c r="N977">
        <v>15459.102930972058</v>
      </c>
    </row>
    <row r="978" spans="13:14" x14ac:dyDescent="0.25">
      <c r="M978">
        <v>941</v>
      </c>
      <c r="N978">
        <v>8012.137504751845</v>
      </c>
    </row>
    <row r="979" spans="13:14" x14ac:dyDescent="0.25">
      <c r="M979">
        <v>942</v>
      </c>
      <c r="N979">
        <v>12355.512541237997</v>
      </c>
    </row>
    <row r="980" spans="13:14" x14ac:dyDescent="0.25">
      <c r="M980">
        <v>943</v>
      </c>
      <c r="N980">
        <v>9044.9106887700636</v>
      </c>
    </row>
    <row r="981" spans="13:14" x14ac:dyDescent="0.25">
      <c r="M981">
        <v>944</v>
      </c>
      <c r="N981">
        <v>13008.758302410159</v>
      </c>
    </row>
    <row r="982" spans="13:14" x14ac:dyDescent="0.25">
      <c r="M982">
        <v>945</v>
      </c>
      <c r="N982">
        <v>16719.724858773901</v>
      </c>
    </row>
    <row r="983" spans="13:14" x14ac:dyDescent="0.25">
      <c r="M983">
        <v>946</v>
      </c>
      <c r="N983">
        <v>18157.760178340519</v>
      </c>
    </row>
    <row r="984" spans="13:14" x14ac:dyDescent="0.25">
      <c r="M984">
        <v>947</v>
      </c>
      <c r="N984">
        <v>24685.539760699903</v>
      </c>
    </row>
    <row r="985" spans="13:14" x14ac:dyDescent="0.25">
      <c r="M985">
        <v>948</v>
      </c>
      <c r="N985">
        <v>11991.391445817075</v>
      </c>
    </row>
    <row r="986" spans="13:14" x14ac:dyDescent="0.25">
      <c r="M986">
        <v>949</v>
      </c>
      <c r="N986">
        <v>10611.439426913759</v>
      </c>
    </row>
    <row r="987" spans="13:14" x14ac:dyDescent="0.25">
      <c r="M987">
        <v>950</v>
      </c>
      <c r="N987">
        <v>13749.765686133558</v>
      </c>
    </row>
    <row r="988" spans="13:14" x14ac:dyDescent="0.25">
      <c r="M988">
        <v>951</v>
      </c>
      <c r="N988">
        <v>14300.216448367672</v>
      </c>
    </row>
    <row r="989" spans="13:14" x14ac:dyDescent="0.25">
      <c r="M989">
        <v>952</v>
      </c>
      <c r="N989">
        <v>14300.230128331294</v>
      </c>
    </row>
    <row r="990" spans="13:14" x14ac:dyDescent="0.25">
      <c r="M990">
        <v>953</v>
      </c>
      <c r="N990">
        <v>18001.829811689382</v>
      </c>
    </row>
    <row r="991" spans="13:14" x14ac:dyDescent="0.25">
      <c r="M991">
        <v>954</v>
      </c>
      <c r="N991">
        <v>21918.957778206393</v>
      </c>
    </row>
    <row r="992" spans="13:14" x14ac:dyDescent="0.25">
      <c r="M992">
        <v>955</v>
      </c>
      <c r="N992">
        <v>14295.762350637757</v>
      </c>
    </row>
    <row r="993" spans="13:14" x14ac:dyDescent="0.25">
      <c r="M993">
        <v>956</v>
      </c>
      <c r="N993">
        <v>13428.336463758462</v>
      </c>
    </row>
    <row r="994" spans="13:14" x14ac:dyDescent="0.25">
      <c r="M994">
        <v>957</v>
      </c>
      <c r="N994">
        <v>12278.577638980832</v>
      </c>
    </row>
    <row r="995" spans="13:14" x14ac:dyDescent="0.25">
      <c r="M995">
        <v>958</v>
      </c>
      <c r="N995">
        <v>13163.440939517761</v>
      </c>
    </row>
    <row r="996" spans="13:14" x14ac:dyDescent="0.25">
      <c r="M996">
        <v>959</v>
      </c>
      <c r="N996">
        <v>13839.014104886513</v>
      </c>
    </row>
    <row r="997" spans="13:14" x14ac:dyDescent="0.25">
      <c r="M997">
        <v>960</v>
      </c>
      <c r="N997">
        <v>10533.689289138452</v>
      </c>
    </row>
    <row r="998" spans="13:14" x14ac:dyDescent="0.25">
      <c r="M998">
        <v>961</v>
      </c>
      <c r="N998">
        <v>16547.581812486409</v>
      </c>
    </row>
    <row r="999" spans="13:14" x14ac:dyDescent="0.25">
      <c r="M999">
        <v>962</v>
      </c>
      <c r="N999">
        <v>16495.991863526076</v>
      </c>
    </row>
    <row r="1000" spans="13:14" x14ac:dyDescent="0.25">
      <c r="M1000">
        <v>963</v>
      </c>
      <c r="N1000">
        <v>17450.968249129361</v>
      </c>
    </row>
    <row r="1001" spans="13:14" x14ac:dyDescent="0.25">
      <c r="M1001">
        <v>964</v>
      </c>
      <c r="N1001">
        <v>12155.380843958512</v>
      </c>
    </row>
    <row r="1002" spans="13:14" x14ac:dyDescent="0.25">
      <c r="M1002">
        <v>965</v>
      </c>
      <c r="N1002">
        <v>14939.385550119579</v>
      </c>
    </row>
    <row r="1003" spans="13:14" x14ac:dyDescent="0.25">
      <c r="M1003">
        <v>966</v>
      </c>
      <c r="N1003">
        <v>13038.61824624775</v>
      </c>
    </row>
    <row r="1004" spans="13:14" x14ac:dyDescent="0.25">
      <c r="M1004">
        <v>967</v>
      </c>
      <c r="N1004">
        <v>17057.985614144734</v>
      </c>
    </row>
    <row r="1005" spans="13:14" x14ac:dyDescent="0.25">
      <c r="M1005">
        <v>968</v>
      </c>
      <c r="N1005">
        <v>17329.231314674631</v>
      </c>
    </row>
    <row r="1006" spans="13:14" x14ac:dyDescent="0.25">
      <c r="M1006">
        <v>969</v>
      </c>
      <c r="N1006">
        <v>9758.3028608965233</v>
      </c>
    </row>
    <row r="1007" spans="13:14" x14ac:dyDescent="0.25">
      <c r="M1007">
        <v>970</v>
      </c>
      <c r="N1007">
        <v>14381.02279288707</v>
      </c>
    </row>
    <row r="1008" spans="13:14" x14ac:dyDescent="0.25">
      <c r="M1008">
        <v>971</v>
      </c>
      <c r="N1008">
        <v>18648.636981107218</v>
      </c>
    </row>
    <row r="1009" spans="13:14" x14ac:dyDescent="0.25">
      <c r="M1009">
        <v>972</v>
      </c>
      <c r="N1009">
        <v>17644.922075492374</v>
      </c>
    </row>
    <row r="1010" spans="13:14" x14ac:dyDescent="0.25">
      <c r="M1010">
        <v>973</v>
      </c>
      <c r="N1010">
        <v>10215.897796605899</v>
      </c>
    </row>
    <row r="1011" spans="13:14" x14ac:dyDescent="0.25">
      <c r="M1011">
        <v>974</v>
      </c>
      <c r="N1011">
        <v>17492.306321084692</v>
      </c>
    </row>
    <row r="1012" spans="13:14" x14ac:dyDescent="0.25">
      <c r="M1012">
        <v>975</v>
      </c>
      <c r="N1012">
        <v>13859.294235423678</v>
      </c>
    </row>
    <row r="1013" spans="13:14" x14ac:dyDescent="0.25">
      <c r="M1013">
        <v>976</v>
      </c>
      <c r="N1013">
        <v>15839.901318277523</v>
      </c>
    </row>
    <row r="1014" spans="13:14" x14ac:dyDescent="0.25">
      <c r="M1014">
        <v>977</v>
      </c>
      <c r="N1014">
        <v>15686.3335908185</v>
      </c>
    </row>
    <row r="1015" spans="13:14" x14ac:dyDescent="0.25">
      <c r="M1015">
        <v>978</v>
      </c>
      <c r="N1015">
        <v>13150.682422302219</v>
      </c>
    </row>
    <row r="1016" spans="13:14" x14ac:dyDescent="0.25">
      <c r="M1016">
        <v>979</v>
      </c>
      <c r="N1016">
        <v>13731.272038042835</v>
      </c>
    </row>
    <row r="1017" spans="13:14" x14ac:dyDescent="0.25">
      <c r="M1017">
        <v>980</v>
      </c>
      <c r="N1017">
        <v>11348.622186067896</v>
      </c>
    </row>
    <row r="1018" spans="13:14" x14ac:dyDescent="0.25">
      <c r="M1018">
        <v>981</v>
      </c>
      <c r="N1018">
        <v>17796.648894844984</v>
      </c>
    </row>
    <row r="1019" spans="13:14" x14ac:dyDescent="0.25">
      <c r="M1019">
        <v>982</v>
      </c>
      <c r="N1019">
        <v>13975.0291965943</v>
      </c>
    </row>
    <row r="1020" spans="13:14" x14ac:dyDescent="0.25">
      <c r="M1020">
        <v>983</v>
      </c>
      <c r="N1020">
        <v>12532.858110393317</v>
      </c>
    </row>
    <row r="1021" spans="13:14" x14ac:dyDescent="0.25">
      <c r="M1021">
        <v>984</v>
      </c>
      <c r="N1021">
        <v>13012.556055735335</v>
      </c>
    </row>
    <row r="1022" spans="13:14" x14ac:dyDescent="0.25">
      <c r="M1022">
        <v>985</v>
      </c>
      <c r="N1022">
        <v>10161.144541694917</v>
      </c>
    </row>
    <row r="1023" spans="13:14" x14ac:dyDescent="0.25">
      <c r="M1023">
        <v>986</v>
      </c>
      <c r="N1023">
        <v>13192.563014480504</v>
      </c>
    </row>
    <row r="1024" spans="13:14" x14ac:dyDescent="0.25">
      <c r="M1024">
        <v>987</v>
      </c>
      <c r="N1024">
        <v>16010.484389858168</v>
      </c>
    </row>
    <row r="1025" spans="13:14" x14ac:dyDescent="0.25">
      <c r="M1025">
        <v>988</v>
      </c>
      <c r="N1025">
        <v>12538.778088257752</v>
      </c>
    </row>
    <row r="1026" spans="13:14" x14ac:dyDescent="0.25">
      <c r="M1026">
        <v>989</v>
      </c>
      <c r="N1026">
        <v>15127.428614333166</v>
      </c>
    </row>
    <row r="1027" spans="13:14" x14ac:dyDescent="0.25">
      <c r="M1027">
        <v>990</v>
      </c>
      <c r="N1027">
        <v>21954.71449198441</v>
      </c>
    </row>
    <row r="1028" spans="13:14" x14ac:dyDescent="0.25">
      <c r="M1028">
        <v>991</v>
      </c>
      <c r="N1028">
        <v>18327.966683873656</v>
      </c>
    </row>
    <row r="1029" spans="13:14" x14ac:dyDescent="0.25">
      <c r="M1029">
        <v>992</v>
      </c>
      <c r="N1029">
        <v>26547.790402303508</v>
      </c>
    </row>
    <row r="1030" spans="13:14" x14ac:dyDescent="0.25">
      <c r="M1030">
        <v>993</v>
      </c>
      <c r="N1030">
        <v>13301.881661337326</v>
      </c>
    </row>
    <row r="1031" spans="13:14" x14ac:dyDescent="0.25">
      <c r="M1031">
        <v>994</v>
      </c>
      <c r="N1031">
        <v>14762.195083422343</v>
      </c>
    </row>
    <row r="1032" spans="13:14" x14ac:dyDescent="0.25">
      <c r="M1032">
        <v>995</v>
      </c>
      <c r="N1032">
        <v>19890.623904865053</v>
      </c>
    </row>
    <row r="1033" spans="13:14" x14ac:dyDescent="0.25">
      <c r="M1033">
        <v>996</v>
      </c>
      <c r="N1033">
        <v>13539.558837324992</v>
      </c>
    </row>
    <row r="1034" spans="13:14" x14ac:dyDescent="0.25">
      <c r="M1034">
        <v>997</v>
      </c>
      <c r="N1034">
        <v>10685.288531559901</v>
      </c>
    </row>
    <row r="1035" spans="13:14" x14ac:dyDescent="0.25">
      <c r="M1035">
        <v>998</v>
      </c>
      <c r="N1035">
        <v>9603.1759821520773</v>
      </c>
    </row>
    <row r="1036" spans="13:14" x14ac:dyDescent="0.25">
      <c r="M1036">
        <v>999</v>
      </c>
      <c r="N1036">
        <v>10741.397429810126</v>
      </c>
    </row>
    <row r="1037" spans="13:14" x14ac:dyDescent="0.25">
      <c r="M1037">
        <v>1000</v>
      </c>
      <c r="N1037">
        <v>11502.592376027287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794F9-97A8-48D5-BCCB-C557B948EC90}">
  <dimension ref="A1:N56"/>
  <sheetViews>
    <sheetView tabSelected="1" topLeftCell="A39" workbookViewId="0">
      <selection activeCell="D17" sqref="D17"/>
    </sheetView>
  </sheetViews>
  <sheetFormatPr defaultRowHeight="15" x14ac:dyDescent="0.25"/>
  <cols>
    <col min="2" max="2" width="10.28515625" bestFit="1" customWidth="1"/>
    <col min="4" max="4" width="10" bestFit="1" customWidth="1"/>
    <col min="6" max="6" width="11.5703125" bestFit="1" customWidth="1"/>
    <col min="9" max="9" width="9.5703125" customWidth="1"/>
  </cols>
  <sheetData>
    <row r="1" spans="1:9" ht="37.5" customHeight="1" x14ac:dyDescent="0.4">
      <c r="A1" s="77" t="s">
        <v>160</v>
      </c>
    </row>
    <row r="2" spans="1:9" ht="37.5" customHeight="1" x14ac:dyDescent="0.4">
      <c r="A2" s="77"/>
    </row>
    <row r="3" spans="1:9" x14ac:dyDescent="0.25">
      <c r="D3" s="80"/>
      <c r="E3" s="81" t="s">
        <v>137</v>
      </c>
      <c r="F3" s="81"/>
      <c r="G3" s="81"/>
      <c r="H3" s="81"/>
      <c r="I3" s="82"/>
    </row>
    <row r="4" spans="1:9" x14ac:dyDescent="0.25">
      <c r="D4" s="83"/>
      <c r="E4" s="84" t="s">
        <v>123</v>
      </c>
      <c r="F4" s="84" t="s">
        <v>124</v>
      </c>
      <c r="G4" s="84" t="s">
        <v>126</v>
      </c>
      <c r="H4" s="84" t="s">
        <v>128</v>
      </c>
      <c r="I4" s="85" t="s">
        <v>129</v>
      </c>
    </row>
    <row r="5" spans="1:9" x14ac:dyDescent="0.25">
      <c r="A5" t="s">
        <v>135</v>
      </c>
      <c r="D5" s="83" t="s">
        <v>175</v>
      </c>
      <c r="E5" s="84" t="s">
        <v>138</v>
      </c>
      <c r="F5" s="84" t="s">
        <v>144</v>
      </c>
      <c r="G5" s="84" t="s">
        <v>127</v>
      </c>
      <c r="H5" s="84" t="s">
        <v>131</v>
      </c>
      <c r="I5" s="85" t="s">
        <v>144</v>
      </c>
    </row>
    <row r="6" spans="1:9" x14ac:dyDescent="0.25">
      <c r="A6" t="s">
        <v>136</v>
      </c>
      <c r="D6" s="86" t="s">
        <v>143</v>
      </c>
      <c r="E6" s="87" t="s">
        <v>130</v>
      </c>
      <c r="F6" s="87" t="s">
        <v>124</v>
      </c>
      <c r="G6" s="87" t="s">
        <v>125</v>
      </c>
      <c r="H6" s="87" t="s">
        <v>133</v>
      </c>
      <c r="I6" s="88" t="s">
        <v>132</v>
      </c>
    </row>
    <row r="8" spans="1:9" x14ac:dyDescent="0.25">
      <c r="A8" t="s">
        <v>134</v>
      </c>
      <c r="B8" s="5">
        <f>+'Valuation-draft'!C5</f>
        <v>45831</v>
      </c>
      <c r="D8" s="79">
        <f>+'Valuation-draft'!B5</f>
        <v>110.54</v>
      </c>
      <c r="E8" s="78">
        <v>69.040000000000006</v>
      </c>
      <c r="F8" s="78">
        <v>101.52</v>
      </c>
      <c r="G8" s="78">
        <v>100.98</v>
      </c>
      <c r="H8" s="78">
        <v>25.77</v>
      </c>
      <c r="I8" s="78">
        <v>45.09</v>
      </c>
    </row>
    <row r="10" spans="1:9" x14ac:dyDescent="0.25">
      <c r="A10" t="s">
        <v>145</v>
      </c>
      <c r="D10" s="53">
        <f>+'Valuation-draft'!D5/1000000</f>
        <v>65.863962999999998</v>
      </c>
      <c r="E10" s="53">
        <v>103.02500000000001</v>
      </c>
      <c r="F10" s="53">
        <v>74.674999999999997</v>
      </c>
      <c r="G10" s="53">
        <v>61.725000000000001</v>
      </c>
      <c r="H10" s="53">
        <v>83.7</v>
      </c>
      <c r="I10" s="53">
        <v>67.775000000000006</v>
      </c>
    </row>
    <row r="12" spans="1:9" x14ac:dyDescent="0.25">
      <c r="A12" t="s">
        <v>139</v>
      </c>
      <c r="D12" s="18">
        <f>D10*D8</f>
        <v>7280.6024700200005</v>
      </c>
      <c r="E12" s="18">
        <f t="shared" ref="E12:I12" si="0">E10*E8</f>
        <v>7112.8460000000014</v>
      </c>
      <c r="F12" s="18">
        <f>F10*F8</f>
        <v>7581.0059999999994</v>
      </c>
      <c r="G12" s="18">
        <f t="shared" si="0"/>
        <v>6232.9905000000008</v>
      </c>
      <c r="H12" s="18">
        <f t="shared" si="0"/>
        <v>2156.9490000000001</v>
      </c>
      <c r="I12" s="18">
        <f t="shared" si="0"/>
        <v>3055.9747500000003</v>
      </c>
    </row>
    <row r="13" spans="1:9" x14ac:dyDescent="0.25">
      <c r="A13" t="s">
        <v>105</v>
      </c>
      <c r="D13" s="6">
        <f>+'Valuation-draft'!H5</f>
        <v>961.8</v>
      </c>
      <c r="E13" s="6">
        <v>1041</v>
      </c>
      <c r="F13" s="6">
        <v>2776</v>
      </c>
      <c r="G13" s="6">
        <v>252</v>
      </c>
      <c r="H13" s="6">
        <v>5690</v>
      </c>
      <c r="I13" s="6">
        <v>2584</v>
      </c>
    </row>
    <row r="14" spans="1:9" x14ac:dyDescent="0.25">
      <c r="A14" t="s">
        <v>106</v>
      </c>
      <c r="D14" s="76">
        <f>+'Valuation-draft'!I5</f>
        <v>204.9</v>
      </c>
      <c r="E14" s="76">
        <f>1041-722</f>
        <v>319</v>
      </c>
      <c r="F14" s="76">
        <f>2776-2036</f>
        <v>740</v>
      </c>
      <c r="G14" s="76">
        <f>252-119.8</f>
        <v>132.19999999999999</v>
      </c>
      <c r="H14" s="76">
        <f>5690-5648</f>
        <v>42</v>
      </c>
      <c r="I14" s="76">
        <f>2584-2196</f>
        <v>388</v>
      </c>
    </row>
    <row r="15" spans="1:9" x14ac:dyDescent="0.25">
      <c r="A15" t="s">
        <v>89</v>
      </c>
      <c r="D15" s="18">
        <f>D13-D14</f>
        <v>756.9</v>
      </c>
      <c r="E15" s="18">
        <f>E13-E14</f>
        <v>722</v>
      </c>
      <c r="F15" s="18">
        <f t="shared" ref="F15:I15" si="1">F13-F14</f>
        <v>2036</v>
      </c>
      <c r="G15" s="18">
        <f t="shared" si="1"/>
        <v>119.80000000000001</v>
      </c>
      <c r="H15" s="18">
        <f t="shared" si="1"/>
        <v>5648</v>
      </c>
      <c r="I15" s="18">
        <f t="shared" si="1"/>
        <v>2196</v>
      </c>
    </row>
    <row r="17" spans="1:9" x14ac:dyDescent="0.25">
      <c r="A17" t="s">
        <v>140</v>
      </c>
      <c r="D17" s="18">
        <f>D12+D15</f>
        <v>8037.5024700200001</v>
      </c>
      <c r="E17" s="18">
        <f>E12+E15</f>
        <v>7834.8460000000014</v>
      </c>
      <c r="F17" s="18">
        <f t="shared" ref="F17:I17" si="2">F12+F15</f>
        <v>9617.0059999999994</v>
      </c>
      <c r="G17" s="18">
        <f t="shared" si="2"/>
        <v>6352.790500000001</v>
      </c>
      <c r="H17" s="18">
        <f t="shared" si="2"/>
        <v>7804.9490000000005</v>
      </c>
      <c r="I17" s="18">
        <f t="shared" si="2"/>
        <v>5251.9747500000003</v>
      </c>
    </row>
    <row r="18" spans="1:9" x14ac:dyDescent="0.25">
      <c r="D18" s="26"/>
      <c r="E18" s="26"/>
      <c r="F18" s="26"/>
      <c r="G18" s="26"/>
      <c r="H18" s="26"/>
      <c r="I18" s="26"/>
    </row>
    <row r="19" spans="1:9" x14ac:dyDescent="0.25">
      <c r="A19" t="s">
        <v>170</v>
      </c>
      <c r="D19" s="26">
        <v>10920</v>
      </c>
      <c r="E19" s="26">
        <v>4650</v>
      </c>
      <c r="F19" s="26">
        <v>10190</v>
      </c>
      <c r="G19" s="26">
        <v>2200</v>
      </c>
      <c r="H19" s="26">
        <v>2580</v>
      </c>
      <c r="I19" s="26">
        <v>5550</v>
      </c>
    </row>
    <row r="20" spans="1:9" x14ac:dyDescent="0.25">
      <c r="A20" t="s">
        <v>169</v>
      </c>
      <c r="D20" s="26">
        <v>10320</v>
      </c>
      <c r="E20" s="26">
        <v>4530</v>
      </c>
      <c r="F20" s="26">
        <v>9600</v>
      </c>
      <c r="G20" s="26">
        <v>2050</v>
      </c>
      <c r="H20" s="26">
        <v>2390</v>
      </c>
      <c r="I20" s="26">
        <v>5310</v>
      </c>
    </row>
    <row r="21" spans="1:9" x14ac:dyDescent="0.25">
      <c r="A21" t="s">
        <v>155</v>
      </c>
      <c r="D21" s="26">
        <f>+'Income Statement'!L6</f>
        <v>10755.5</v>
      </c>
      <c r="E21" s="6">
        <v>4576</v>
      </c>
      <c r="F21" s="6">
        <v>10783</v>
      </c>
      <c r="G21" s="6">
        <v>1861</v>
      </c>
      <c r="H21" s="6">
        <v>3079</v>
      </c>
      <c r="I21" s="6">
        <v>5127</v>
      </c>
    </row>
    <row r="22" spans="1:9" x14ac:dyDescent="0.25">
      <c r="A22" t="s">
        <v>150</v>
      </c>
      <c r="D22" s="26">
        <f>+'Income Statement'!J6</f>
        <v>9657.9</v>
      </c>
      <c r="E22" s="6">
        <v>4553</v>
      </c>
      <c r="F22" s="6">
        <v>14412</v>
      </c>
      <c r="G22" s="6">
        <v>1722.7</v>
      </c>
      <c r="H22" s="6">
        <v>2983</v>
      </c>
      <c r="I22" s="6">
        <v>5152</v>
      </c>
    </row>
    <row r="23" spans="1:9" x14ac:dyDescent="0.25">
      <c r="A23" t="s">
        <v>151</v>
      </c>
      <c r="D23" s="26">
        <f>+'Income Statement'!H6</f>
        <v>8282</v>
      </c>
      <c r="E23" s="6">
        <v>4514</v>
      </c>
      <c r="F23" s="6">
        <v>12651</v>
      </c>
      <c r="G23" s="6">
        <v>1434.8</v>
      </c>
      <c r="H23" s="6">
        <v>1977</v>
      </c>
      <c r="I23" s="6">
        <v>4418</v>
      </c>
    </row>
    <row r="24" spans="1:9" x14ac:dyDescent="0.25">
      <c r="D24" s="26"/>
      <c r="E24" s="6"/>
      <c r="F24" s="6"/>
      <c r="G24" s="6"/>
      <c r="H24" s="6"/>
      <c r="I24" s="6"/>
    </row>
    <row r="25" spans="1:9" x14ac:dyDescent="0.25">
      <c r="A25" t="s">
        <v>141</v>
      </c>
      <c r="D25" s="6">
        <f>+'Income Statement'!L35</f>
        <v>1262.3999999999994</v>
      </c>
      <c r="E25" s="6">
        <v>689</v>
      </c>
      <c r="F25" s="6">
        <v>58</v>
      </c>
      <c r="G25" s="6">
        <v>358</v>
      </c>
      <c r="H25" s="6">
        <v>730</v>
      </c>
      <c r="I25" s="6">
        <v>520</v>
      </c>
    </row>
    <row r="26" spans="1:9" x14ac:dyDescent="0.25">
      <c r="D26" s="6"/>
      <c r="E26" s="6"/>
      <c r="F26" s="6"/>
      <c r="G26" s="6"/>
      <c r="H26" s="6"/>
      <c r="I26" s="6"/>
    </row>
    <row r="27" spans="1:9" x14ac:dyDescent="0.25">
      <c r="A27" t="s">
        <v>164</v>
      </c>
      <c r="D27" s="8">
        <f>2.89+3.34+2.93+2.58</f>
        <v>11.74</v>
      </c>
      <c r="E27" s="8">
        <v>4.04</v>
      </c>
      <c r="F27" s="8">
        <v>-5.69</v>
      </c>
      <c r="G27" s="8">
        <v>3.5</v>
      </c>
      <c r="H27" s="8">
        <v>1.69</v>
      </c>
      <c r="I27" s="8">
        <v>5</v>
      </c>
    </row>
    <row r="28" spans="1:9" x14ac:dyDescent="0.25">
      <c r="A28" t="s">
        <v>167</v>
      </c>
      <c r="D28" s="8">
        <v>10.32</v>
      </c>
      <c r="E28" s="8">
        <v>4.24</v>
      </c>
      <c r="F28" s="8">
        <v>4.17</v>
      </c>
      <c r="G28" s="8">
        <v>3.83</v>
      </c>
      <c r="H28" s="8">
        <v>1.42</v>
      </c>
      <c r="I28" s="8">
        <v>4.68</v>
      </c>
    </row>
    <row r="29" spans="1:9" x14ac:dyDescent="0.25">
      <c r="A29" t="s">
        <v>168</v>
      </c>
      <c r="D29" s="8">
        <v>12.21</v>
      </c>
      <c r="E29" s="8">
        <v>4.6399999999999997</v>
      </c>
      <c r="F29" s="8">
        <v>6.21</v>
      </c>
      <c r="G29" s="8">
        <v>4.3099999999999996</v>
      </c>
      <c r="H29" s="8">
        <v>1.7</v>
      </c>
      <c r="I29" s="8">
        <v>5.58</v>
      </c>
    </row>
    <row r="30" spans="1:9" x14ac:dyDescent="0.25">
      <c r="D30" s="8"/>
      <c r="E30" s="8"/>
      <c r="F30" s="8"/>
      <c r="G30" s="8"/>
      <c r="H30" s="8"/>
      <c r="I30" s="8"/>
    </row>
    <row r="31" spans="1:9" x14ac:dyDescent="0.25">
      <c r="A31" t="s">
        <v>200</v>
      </c>
      <c r="D31" s="55">
        <f>D25/D21</f>
        <v>0.11737250708939607</v>
      </c>
      <c r="E31" s="55">
        <f t="shared" ref="E31:I31" si="3">E25/E21</f>
        <v>0.15056818181818182</v>
      </c>
      <c r="F31" s="55">
        <f>F25/F21</f>
        <v>5.3788370583325602E-3</v>
      </c>
      <c r="G31" s="55">
        <f t="shared" si="3"/>
        <v>0.19236969371305748</v>
      </c>
      <c r="H31" s="55">
        <f t="shared" si="3"/>
        <v>0.23708996427411497</v>
      </c>
      <c r="I31" s="55">
        <f t="shared" si="3"/>
        <v>0.10142383460113126</v>
      </c>
    </row>
    <row r="32" spans="1:9" x14ac:dyDescent="0.25">
      <c r="D32" s="37"/>
      <c r="E32" s="37"/>
      <c r="F32" s="37"/>
      <c r="G32" s="37"/>
      <c r="H32" s="37"/>
      <c r="I32" s="37"/>
    </row>
    <row r="33" spans="1:9" x14ac:dyDescent="0.25">
      <c r="A33" s="1" t="s">
        <v>173</v>
      </c>
    </row>
    <row r="34" spans="1:9" x14ac:dyDescent="0.25">
      <c r="A34" t="s">
        <v>201</v>
      </c>
      <c r="D34" s="59">
        <f>D12/D21</f>
        <v>0.67691901538933574</v>
      </c>
      <c r="E34" s="59">
        <f t="shared" ref="E34:I34" si="4">E12/E21</f>
        <v>1.554380681818182</v>
      </c>
      <c r="F34" s="59">
        <f t="shared" si="4"/>
        <v>0.70305165538347392</v>
      </c>
      <c r="G34" s="59">
        <f t="shared" si="4"/>
        <v>3.3492694787748527</v>
      </c>
      <c r="H34" s="59">
        <f t="shared" si="4"/>
        <v>0.70053556349464119</v>
      </c>
      <c r="I34" s="59">
        <f t="shared" si="4"/>
        <v>0.59605514921006442</v>
      </c>
    </row>
    <row r="35" spans="1:9" x14ac:dyDescent="0.25">
      <c r="A35" t="s">
        <v>202</v>
      </c>
      <c r="D35" s="59">
        <f>D17/D21</f>
        <v>0.74729231277207009</v>
      </c>
      <c r="E35" s="59">
        <f t="shared" ref="E35:I35" si="5">E17/E21</f>
        <v>1.7121604020979024</v>
      </c>
      <c r="F35" s="59">
        <f t="shared" si="5"/>
        <v>0.89186738384494102</v>
      </c>
      <c r="G35" s="59">
        <f t="shared" si="5"/>
        <v>3.4136434712520156</v>
      </c>
      <c r="H35" s="59">
        <f t="shared" si="5"/>
        <v>2.5348973692757388</v>
      </c>
      <c r="I35" s="59">
        <f t="shared" si="5"/>
        <v>1.0243758045640725</v>
      </c>
    </row>
    <row r="36" spans="1:9" x14ac:dyDescent="0.25">
      <c r="A36" t="s">
        <v>152</v>
      </c>
      <c r="D36" s="54">
        <f>D17/D25</f>
        <v>6.3668428945025379</v>
      </c>
      <c r="E36" s="54">
        <f t="shared" ref="E36:I36" si="6">E17/E25</f>
        <v>11.371329462989843</v>
      </c>
      <c r="F36" s="54">
        <f t="shared" si="6"/>
        <v>165.81044827586206</v>
      </c>
      <c r="G36" s="54">
        <f t="shared" si="6"/>
        <v>17.745224860335199</v>
      </c>
      <c r="H36" s="54">
        <f t="shared" si="6"/>
        <v>10.69171095890411</v>
      </c>
      <c r="I36" s="54">
        <f t="shared" si="6"/>
        <v>10.099951442307693</v>
      </c>
    </row>
    <row r="37" spans="1:9" x14ac:dyDescent="0.25">
      <c r="A37" t="s">
        <v>165</v>
      </c>
      <c r="D37" s="54">
        <f>D8/D27</f>
        <v>9.4156729131175467</v>
      </c>
      <c r="E37" s="54">
        <f>E8/E27</f>
        <v>17.089108910891092</v>
      </c>
      <c r="F37" s="54">
        <f>F8/F27</f>
        <v>-17.841827768014056</v>
      </c>
      <c r="G37" s="54">
        <f t="shared" ref="G37:I37" si="7">G8/G27</f>
        <v>28.851428571428574</v>
      </c>
      <c r="H37" s="54">
        <f t="shared" si="7"/>
        <v>15.248520710059172</v>
      </c>
      <c r="I37" s="54">
        <f t="shared" si="7"/>
        <v>9.0180000000000007</v>
      </c>
    </row>
    <row r="38" spans="1:9" x14ac:dyDescent="0.25">
      <c r="A38" t="s">
        <v>161</v>
      </c>
      <c r="D38" s="54">
        <f>D8/D28</f>
        <v>10.711240310077519</v>
      </c>
      <c r="E38" s="54">
        <f t="shared" ref="E38:I38" si="8">E8/E28</f>
        <v>16.283018867924529</v>
      </c>
      <c r="F38" s="54">
        <f t="shared" si="8"/>
        <v>24.345323741007192</v>
      </c>
      <c r="G38" s="54">
        <f t="shared" si="8"/>
        <v>26.365535248041777</v>
      </c>
      <c r="H38" s="54">
        <f t="shared" si="8"/>
        <v>18.147887323943664</v>
      </c>
      <c r="I38" s="54">
        <f t="shared" si="8"/>
        <v>9.6346153846153868</v>
      </c>
    </row>
    <row r="39" spans="1:9" x14ac:dyDescent="0.25">
      <c r="A39" t="s">
        <v>162</v>
      </c>
      <c r="D39" s="54">
        <f>D8/D29</f>
        <v>9.0532350532350527</v>
      </c>
      <c r="E39" s="54">
        <f t="shared" ref="E39:I39" si="9">E8/E29</f>
        <v>14.879310344827589</v>
      </c>
      <c r="F39" s="54">
        <f t="shared" si="9"/>
        <v>16.34782608695652</v>
      </c>
      <c r="G39" s="54">
        <f t="shared" si="9"/>
        <v>23.429234338747104</v>
      </c>
      <c r="H39" s="54">
        <f t="shared" si="9"/>
        <v>15.158823529411764</v>
      </c>
      <c r="I39" s="54">
        <f t="shared" si="9"/>
        <v>8.0806451612903238</v>
      </c>
    </row>
    <row r="40" spans="1:9" x14ac:dyDescent="0.25">
      <c r="D40" s="60"/>
      <c r="E40" s="60"/>
      <c r="F40" s="60"/>
      <c r="G40" s="60"/>
      <c r="H40" s="60"/>
      <c r="I40" s="60"/>
    </row>
    <row r="41" spans="1:9" x14ac:dyDescent="0.25">
      <c r="A41" s="1" t="s">
        <v>174</v>
      </c>
      <c r="D41" s="60"/>
      <c r="E41" s="60"/>
      <c r="F41" s="60"/>
      <c r="G41" s="60"/>
      <c r="H41" s="60"/>
      <c r="I41" s="60"/>
    </row>
    <row r="42" spans="1:9" x14ac:dyDescent="0.25">
      <c r="A42" t="s">
        <v>153</v>
      </c>
      <c r="D42" s="54">
        <f>D13/D25</f>
        <v>0.76188212927756682</v>
      </c>
      <c r="E42" s="54">
        <f t="shared" ref="E42:I42" si="10">E13/E25</f>
        <v>1.5108853410740204</v>
      </c>
      <c r="F42" s="54">
        <f>F13/F25</f>
        <v>47.862068965517238</v>
      </c>
      <c r="G42" s="54">
        <f t="shared" si="10"/>
        <v>0.7039106145251397</v>
      </c>
      <c r="H42" s="54">
        <f t="shared" si="10"/>
        <v>7.7945205479452051</v>
      </c>
      <c r="I42" s="54">
        <f t="shared" si="10"/>
        <v>4.9692307692307693</v>
      </c>
    </row>
    <row r="43" spans="1:9" x14ac:dyDescent="0.25">
      <c r="A43" t="s">
        <v>142</v>
      </c>
      <c r="D43" s="55">
        <f>D13/D12</f>
        <v>0.13210445206430255</v>
      </c>
      <c r="E43" s="55">
        <f t="shared" ref="E43:I43" si="11">E13/E12</f>
        <v>0.1463549189733617</v>
      </c>
      <c r="F43" s="55">
        <f t="shared" si="11"/>
        <v>0.36617831459307648</v>
      </c>
      <c r="G43" s="55">
        <f t="shared" si="11"/>
        <v>4.043003113834362E-2</v>
      </c>
      <c r="H43" s="55">
        <f t="shared" si="11"/>
        <v>2.6379854136560486</v>
      </c>
      <c r="I43" s="55">
        <f t="shared" si="11"/>
        <v>0.84555672457699449</v>
      </c>
    </row>
    <row r="45" spans="1:9" x14ac:dyDescent="0.25">
      <c r="D45" s="37"/>
      <c r="E45" s="37"/>
      <c r="F45" s="37"/>
      <c r="G45" s="37"/>
      <c r="H45" s="37"/>
      <c r="I45" s="37"/>
    </row>
    <row r="46" spans="1:9" x14ac:dyDescent="0.25">
      <c r="A46" s="1" t="s">
        <v>190</v>
      </c>
      <c r="D46" s="37"/>
      <c r="E46" s="37"/>
      <c r="F46" s="37"/>
      <c r="G46" s="37"/>
      <c r="H46" s="37"/>
      <c r="I46" s="37"/>
    </row>
    <row r="47" spans="1:9" x14ac:dyDescent="0.25">
      <c r="A47" t="s">
        <v>166</v>
      </c>
      <c r="D47" s="55">
        <f>((D29/D27)^0.5)-1</f>
        <v>1.9820607533626688E-2</v>
      </c>
      <c r="E47" s="55">
        <f>((E29/E27)^0.5)-1</f>
        <v>7.1687851701766947E-2</v>
      </c>
      <c r="F47" s="55" t="e">
        <f>((F29/F27)^0.5)-1</f>
        <v>#NUM!</v>
      </c>
      <c r="G47" s="55">
        <f>((G29/G27)^0.5)-1</f>
        <v>0.10969751348219714</v>
      </c>
      <c r="H47" s="55">
        <f t="shared" ref="H47:I47" si="12">((H29/H27)^0.5)-1</f>
        <v>2.9542161850228954E-3</v>
      </c>
      <c r="I47" s="55">
        <f t="shared" si="12"/>
        <v>5.6409011699540601E-2</v>
      </c>
    </row>
    <row r="48" spans="1:9" x14ac:dyDescent="0.25">
      <c r="A48" t="s">
        <v>154</v>
      </c>
      <c r="D48" s="55">
        <f>((D21/D23)^0.5)-1</f>
        <v>0.13958753240950417</v>
      </c>
      <c r="E48" s="55">
        <f t="shared" ref="E48:I48" si="13">((E21/E23)^0.5)-1</f>
        <v>6.8441023921883559E-3</v>
      </c>
      <c r="F48" s="55">
        <f t="shared" si="13"/>
        <v>-7.6775385810154861E-2</v>
      </c>
      <c r="G48" s="55">
        <f t="shared" si="13"/>
        <v>0.13887878385034136</v>
      </c>
      <c r="H48" s="55">
        <f t="shared" si="13"/>
        <v>0.24796242631790189</v>
      </c>
      <c r="I48" s="55">
        <f t="shared" si="13"/>
        <v>7.7255705549091669E-2</v>
      </c>
    </row>
    <row r="49" spans="1:14" x14ac:dyDescent="0.25">
      <c r="A49" t="s">
        <v>171</v>
      </c>
      <c r="D49" s="55">
        <f>((D19/D21)^0.5)-1</f>
        <v>7.6182315183277449E-3</v>
      </c>
      <c r="E49" s="55">
        <f t="shared" ref="E49:I49" si="14">((E19/E21)^0.5)-1</f>
        <v>8.0532370223949101E-3</v>
      </c>
      <c r="F49" s="55">
        <f t="shared" si="14"/>
        <v>-2.7885794771494887E-2</v>
      </c>
      <c r="G49" s="55">
        <f t="shared" si="14"/>
        <v>8.7271874446738007E-2</v>
      </c>
      <c r="H49" s="55">
        <f t="shared" si="14"/>
        <v>-8.4612434930505298E-2</v>
      </c>
      <c r="I49" s="55">
        <f t="shared" si="14"/>
        <v>4.0434711325657791E-2</v>
      </c>
    </row>
    <row r="50" spans="1:14" x14ac:dyDescent="0.25">
      <c r="A50" t="s">
        <v>172</v>
      </c>
      <c r="D50" s="55">
        <f>((D19/D23)^(1/4)-1)</f>
        <v>7.1573223847441803E-2</v>
      </c>
      <c r="E50" s="55">
        <f t="shared" ref="E50:I50" si="15">((E19/E23)^(1/4)-1)</f>
        <v>7.4484883076419983E-3</v>
      </c>
      <c r="F50" s="55">
        <f t="shared" si="15"/>
        <v>-5.2645915156030676E-2</v>
      </c>
      <c r="G50" s="55">
        <f t="shared" si="15"/>
        <v>0.11277619945997319</v>
      </c>
      <c r="H50" s="55">
        <f t="shared" si="15"/>
        <v>6.8816769481730544E-2</v>
      </c>
      <c r="I50" s="55">
        <f t="shared" si="15"/>
        <v>5.8685141591628742E-2</v>
      </c>
    </row>
    <row r="52" spans="1:14" x14ac:dyDescent="0.25">
      <c r="A52" t="s">
        <v>146</v>
      </c>
    </row>
    <row r="53" spans="1:14" x14ac:dyDescent="0.25">
      <c r="A53" s="7" t="s">
        <v>148</v>
      </c>
      <c r="B53" s="7"/>
      <c r="C53" s="7" t="s">
        <v>232</v>
      </c>
      <c r="D53" s="7"/>
      <c r="E53" s="7"/>
      <c r="F53" s="7"/>
      <c r="G53" s="7"/>
      <c r="H53" s="7"/>
      <c r="I53" s="7"/>
      <c r="J53" s="7"/>
      <c r="K53" s="7"/>
      <c r="L53" s="7"/>
      <c r="M53" s="7"/>
      <c r="N53" s="7"/>
    </row>
    <row r="54" spans="1:14" x14ac:dyDescent="0.25">
      <c r="A54" s="7" t="s">
        <v>163</v>
      </c>
      <c r="B54" s="7"/>
      <c r="C54" s="7" t="s">
        <v>235</v>
      </c>
      <c r="D54" s="7"/>
      <c r="E54" s="7"/>
      <c r="F54" s="7"/>
      <c r="G54" s="7"/>
      <c r="H54" s="7"/>
      <c r="I54" s="7"/>
      <c r="J54" s="7"/>
      <c r="K54" s="7"/>
      <c r="L54" s="7"/>
      <c r="M54" s="7"/>
      <c r="N54" s="7"/>
    </row>
    <row r="55" spans="1:14" x14ac:dyDescent="0.25">
      <c r="A55" s="7" t="s">
        <v>149</v>
      </c>
      <c r="B55" s="7"/>
      <c r="C55" s="7" t="s">
        <v>234</v>
      </c>
      <c r="D55" s="7"/>
      <c r="E55" s="7"/>
      <c r="F55" s="7"/>
      <c r="G55" s="7"/>
      <c r="H55" s="7"/>
      <c r="I55" s="7"/>
      <c r="J55" s="7"/>
      <c r="K55" s="7"/>
      <c r="L55" s="7"/>
      <c r="M55" s="7"/>
      <c r="N55" s="7"/>
    </row>
    <row r="56" spans="1:14" x14ac:dyDescent="0.25">
      <c r="A56" s="7" t="s">
        <v>156</v>
      </c>
      <c r="B56" s="7"/>
      <c r="C56" s="7" t="s">
        <v>233</v>
      </c>
      <c r="D56" s="7"/>
      <c r="E56" s="7"/>
      <c r="F56" s="7"/>
      <c r="G56" s="7"/>
      <c r="H56" s="7"/>
      <c r="I56" s="7"/>
      <c r="J56" s="7"/>
      <c r="K56" s="7"/>
      <c r="L56" s="7"/>
      <c r="M56" s="7"/>
      <c r="N5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Questions</vt:lpstr>
      <vt:lpstr>Income Statement</vt:lpstr>
      <vt:lpstr>Balance Sheet</vt:lpstr>
      <vt:lpstr>Valuation-draft</vt:lpstr>
      <vt:lpstr>Compco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josephdgallagher@hotmail.com</dc:creator>
  <cp:lastModifiedBy>KAN Wai Kit</cp:lastModifiedBy>
  <dcterms:created xsi:type="dcterms:W3CDTF">2024-04-17T14:20:14Z</dcterms:created>
  <dcterms:modified xsi:type="dcterms:W3CDTF">2026-10-21T16:36:38Z</dcterms:modified>
</cp:coreProperties>
</file>